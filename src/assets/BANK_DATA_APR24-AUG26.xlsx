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Bank Data\Clean Data\"/>
    </mc:Choice>
  </mc:AlternateContent>
  <xr:revisionPtr revIDLastSave="0" documentId="13_ncr:1_{1FB11670-CDD4-48AF-91E5-7D7AA58ECB41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Combined sheet2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169" i="1" l="1"/>
  <c r="B1169" i="1"/>
  <c r="O1168" i="1"/>
  <c r="B1168" i="1"/>
  <c r="O1167" i="1"/>
  <c r="B1167" i="1"/>
  <c r="O1166" i="1"/>
  <c r="B1166" i="1"/>
  <c r="O1165" i="1"/>
  <c r="B1165" i="1"/>
  <c r="O1164" i="1"/>
  <c r="B1164" i="1"/>
  <c r="O1163" i="1"/>
  <c r="B1163" i="1"/>
  <c r="O1162" i="1"/>
  <c r="B1162" i="1"/>
  <c r="O1161" i="1"/>
  <c r="B1161" i="1"/>
  <c r="O1160" i="1"/>
  <c r="B1160" i="1"/>
  <c r="O1159" i="1"/>
  <c r="B1159" i="1"/>
  <c r="O1158" i="1"/>
  <c r="B1158" i="1"/>
  <c r="O1157" i="1"/>
  <c r="B1157" i="1"/>
  <c r="O1156" i="1"/>
  <c r="B1156" i="1"/>
  <c r="O1155" i="1"/>
  <c r="B1155" i="1"/>
  <c r="O1154" i="1"/>
  <c r="B1154" i="1"/>
  <c r="O1153" i="1"/>
  <c r="B1153" i="1"/>
  <c r="O1152" i="1"/>
  <c r="B1152" i="1"/>
  <c r="O1151" i="1"/>
  <c r="B1151" i="1"/>
  <c r="O1150" i="1"/>
  <c r="B1150" i="1"/>
  <c r="O1149" i="1"/>
  <c r="B1149" i="1"/>
  <c r="O1148" i="1"/>
  <c r="B1148" i="1"/>
  <c r="O1147" i="1"/>
  <c r="B1147" i="1"/>
  <c r="O1146" i="1"/>
  <c r="B1146" i="1"/>
  <c r="O1145" i="1"/>
  <c r="B1145" i="1"/>
  <c r="O1144" i="1"/>
  <c r="B1144" i="1"/>
  <c r="O1143" i="1"/>
  <c r="B1143" i="1"/>
  <c r="O1142" i="1"/>
  <c r="B1142" i="1"/>
  <c r="O1141" i="1"/>
  <c r="B1141" i="1"/>
  <c r="O1140" i="1"/>
  <c r="B1140" i="1"/>
  <c r="O1139" i="1"/>
  <c r="B1139" i="1"/>
  <c r="O1138" i="1"/>
  <c r="B1138" i="1"/>
  <c r="O1137" i="1"/>
  <c r="B1137" i="1"/>
  <c r="O1136" i="1"/>
  <c r="B1136" i="1"/>
  <c r="O1135" i="1"/>
  <c r="B1135" i="1"/>
  <c r="O1134" i="1"/>
  <c r="B1134" i="1"/>
  <c r="O1133" i="1"/>
  <c r="B1133" i="1"/>
  <c r="O1132" i="1"/>
  <c r="B1132" i="1"/>
  <c r="O1131" i="1"/>
  <c r="B1131" i="1"/>
  <c r="O1130" i="1"/>
  <c r="B1130" i="1"/>
  <c r="O1129" i="1"/>
  <c r="B1129" i="1"/>
  <c r="O1128" i="1"/>
  <c r="B1128" i="1"/>
  <c r="O1127" i="1"/>
  <c r="B1127" i="1"/>
  <c r="O1126" i="1"/>
  <c r="B1126" i="1"/>
  <c r="O1125" i="1"/>
  <c r="B1125" i="1"/>
  <c r="O1124" i="1"/>
  <c r="B1124" i="1"/>
  <c r="O1123" i="1"/>
  <c r="B1123" i="1"/>
  <c r="O1122" i="1"/>
  <c r="B1122" i="1"/>
  <c r="O1121" i="1"/>
  <c r="B1121" i="1"/>
  <c r="O1120" i="1"/>
  <c r="B1120" i="1"/>
  <c r="O1119" i="1"/>
  <c r="B1119" i="1"/>
  <c r="O1118" i="1"/>
  <c r="B1118" i="1"/>
  <c r="O1117" i="1"/>
  <c r="B1117" i="1"/>
  <c r="O1116" i="1"/>
  <c r="B1116" i="1"/>
  <c r="O1115" i="1"/>
  <c r="B1115" i="1"/>
  <c r="O1114" i="1"/>
  <c r="B1114" i="1"/>
  <c r="O1113" i="1"/>
  <c r="B1113" i="1"/>
  <c r="O1112" i="1"/>
  <c r="B1112" i="1"/>
  <c r="O1111" i="1"/>
  <c r="B1111" i="1"/>
  <c r="O1110" i="1"/>
  <c r="B1110" i="1"/>
  <c r="O1109" i="1"/>
  <c r="B1109" i="1"/>
  <c r="O1108" i="1"/>
  <c r="B1108" i="1"/>
  <c r="O1107" i="1"/>
  <c r="B1107" i="1"/>
  <c r="O1106" i="1"/>
  <c r="B1106" i="1"/>
  <c r="O1105" i="1"/>
  <c r="B1105" i="1"/>
  <c r="O1104" i="1"/>
  <c r="B1104" i="1"/>
  <c r="O1103" i="1"/>
  <c r="B1103" i="1"/>
  <c r="O1102" i="1"/>
  <c r="B1102" i="1"/>
  <c r="O1101" i="1"/>
  <c r="B1101" i="1"/>
  <c r="O1100" i="1"/>
  <c r="B1100" i="1"/>
  <c r="O1099" i="1"/>
  <c r="B1099" i="1"/>
  <c r="O1098" i="1"/>
  <c r="B1098" i="1"/>
  <c r="O1097" i="1"/>
  <c r="B1097" i="1"/>
  <c r="O1096" i="1"/>
  <c r="B1096" i="1"/>
  <c r="O1095" i="1"/>
  <c r="B1095" i="1"/>
  <c r="O1094" i="1"/>
  <c r="B1094" i="1"/>
  <c r="O1093" i="1"/>
  <c r="B1093" i="1"/>
  <c r="O1092" i="1"/>
  <c r="B1092" i="1"/>
  <c r="O1091" i="1"/>
  <c r="B1091" i="1"/>
  <c r="O1090" i="1"/>
  <c r="B1090" i="1"/>
  <c r="O1089" i="1"/>
  <c r="B1089" i="1"/>
  <c r="O1088" i="1"/>
  <c r="B1088" i="1"/>
  <c r="O1087" i="1"/>
  <c r="B1087" i="1"/>
  <c r="O1086" i="1"/>
  <c r="B1086" i="1"/>
  <c r="O1085" i="1"/>
  <c r="B1085" i="1"/>
  <c r="O1084" i="1"/>
  <c r="B1084" i="1"/>
  <c r="O1083" i="1"/>
  <c r="B1083" i="1"/>
  <c r="O1082" i="1"/>
  <c r="B1082" i="1"/>
  <c r="O1081" i="1"/>
  <c r="B1081" i="1"/>
  <c r="O1080" i="1"/>
  <c r="B1080" i="1"/>
  <c r="O1079" i="1"/>
  <c r="B1079" i="1"/>
  <c r="O1078" i="1"/>
  <c r="B1078" i="1"/>
  <c r="O1077" i="1"/>
  <c r="B1077" i="1"/>
  <c r="O1076" i="1"/>
  <c r="B1076" i="1"/>
  <c r="O1075" i="1"/>
  <c r="B1075" i="1"/>
  <c r="O1074" i="1"/>
  <c r="B1074" i="1"/>
  <c r="O1073" i="1"/>
  <c r="B1073" i="1"/>
  <c r="O1072" i="1"/>
  <c r="B1072" i="1"/>
  <c r="O1071" i="1"/>
  <c r="B1071" i="1"/>
  <c r="O1070" i="1"/>
  <c r="B1070" i="1"/>
  <c r="O1069" i="1"/>
  <c r="B1069" i="1"/>
  <c r="O1068" i="1"/>
  <c r="B1068" i="1"/>
  <c r="O1067" i="1"/>
  <c r="B1067" i="1"/>
  <c r="O1066" i="1"/>
  <c r="B1066" i="1"/>
  <c r="O1065" i="1"/>
  <c r="B1065" i="1"/>
  <c r="O1064" i="1"/>
  <c r="B1064" i="1"/>
  <c r="O1063" i="1"/>
  <c r="B1063" i="1"/>
  <c r="O1062" i="1"/>
  <c r="B1062" i="1"/>
  <c r="O1061" i="1"/>
  <c r="B1061" i="1"/>
  <c r="O1060" i="1"/>
  <c r="B1060" i="1"/>
  <c r="O1059" i="1"/>
  <c r="B1059" i="1"/>
  <c r="O1058" i="1"/>
  <c r="B1058" i="1"/>
  <c r="O1057" i="1"/>
  <c r="B1057" i="1"/>
  <c r="O1056" i="1"/>
  <c r="B1056" i="1"/>
  <c r="O1055" i="1"/>
  <c r="B1055" i="1"/>
  <c r="O1054" i="1"/>
  <c r="B1054" i="1"/>
  <c r="O1053" i="1"/>
  <c r="B1053" i="1"/>
  <c r="O1052" i="1"/>
  <c r="B1052" i="1"/>
  <c r="O1051" i="1"/>
  <c r="B1051" i="1"/>
  <c r="O1050" i="1"/>
  <c r="B1050" i="1"/>
  <c r="O1049" i="1"/>
  <c r="B1049" i="1"/>
  <c r="O1048" i="1"/>
  <c r="B1048" i="1"/>
  <c r="O1047" i="1"/>
  <c r="B1047" i="1"/>
  <c r="O1046" i="1"/>
  <c r="B1046" i="1"/>
  <c r="O1045" i="1"/>
  <c r="B1045" i="1"/>
  <c r="O1044" i="1"/>
  <c r="B1044" i="1"/>
  <c r="O1043" i="1"/>
  <c r="B1043" i="1"/>
  <c r="O1042" i="1"/>
  <c r="B1042" i="1"/>
  <c r="O1041" i="1"/>
  <c r="B1041" i="1"/>
  <c r="O1040" i="1"/>
  <c r="B1040" i="1"/>
  <c r="O1039" i="1"/>
  <c r="B1039" i="1"/>
  <c r="O1038" i="1"/>
  <c r="B1038" i="1"/>
  <c r="O1037" i="1"/>
  <c r="B1037" i="1"/>
  <c r="O1036" i="1"/>
  <c r="B1036" i="1"/>
  <c r="O1035" i="1"/>
  <c r="B1035" i="1"/>
  <c r="O1034" i="1"/>
  <c r="B1034" i="1"/>
  <c r="O1033" i="1"/>
  <c r="B1033" i="1"/>
  <c r="O1032" i="1"/>
  <c r="B1032" i="1"/>
  <c r="O1031" i="1"/>
  <c r="B1031" i="1"/>
  <c r="O1030" i="1"/>
  <c r="B1030" i="1"/>
  <c r="O1029" i="1"/>
  <c r="B1029" i="1"/>
  <c r="O1028" i="1"/>
  <c r="B1028" i="1"/>
  <c r="O1027" i="1"/>
  <c r="B1027" i="1"/>
  <c r="O1026" i="1"/>
  <c r="B1026" i="1"/>
  <c r="O1025" i="1"/>
  <c r="B1025" i="1"/>
  <c r="O1024" i="1"/>
  <c r="B1024" i="1"/>
  <c r="O1023" i="1"/>
  <c r="B1023" i="1"/>
  <c r="O1022" i="1"/>
  <c r="B1022" i="1"/>
  <c r="O1021" i="1"/>
  <c r="B1021" i="1"/>
  <c r="O1020" i="1"/>
  <c r="B1020" i="1"/>
  <c r="O1019" i="1"/>
  <c r="B1019" i="1"/>
  <c r="O1018" i="1"/>
  <c r="B1018" i="1"/>
  <c r="O1017" i="1"/>
  <c r="B1017" i="1"/>
  <c r="O1016" i="1"/>
  <c r="B1016" i="1"/>
  <c r="O1015" i="1"/>
  <c r="B1015" i="1"/>
  <c r="O1014" i="1"/>
  <c r="B1014" i="1"/>
  <c r="O1013" i="1"/>
  <c r="B1013" i="1"/>
  <c r="O1012" i="1"/>
  <c r="B1012" i="1"/>
  <c r="O1011" i="1"/>
  <c r="B1011" i="1"/>
  <c r="O1010" i="1"/>
  <c r="B1010" i="1"/>
  <c r="O1009" i="1"/>
  <c r="B1009" i="1"/>
  <c r="O1008" i="1"/>
  <c r="B1008" i="1"/>
  <c r="O1007" i="1"/>
  <c r="B1007" i="1"/>
  <c r="O1006" i="1"/>
  <c r="B1006" i="1"/>
  <c r="O1005" i="1"/>
  <c r="B1005" i="1"/>
  <c r="O1004" i="1"/>
  <c r="B1004" i="1"/>
  <c r="O1003" i="1"/>
  <c r="B1003" i="1"/>
  <c r="O1002" i="1"/>
  <c r="B1002" i="1"/>
  <c r="O1001" i="1"/>
  <c r="B1001" i="1"/>
  <c r="O1000" i="1"/>
  <c r="B1000" i="1"/>
  <c r="O999" i="1"/>
  <c r="B999" i="1"/>
  <c r="O998" i="1"/>
  <c r="B998" i="1"/>
  <c r="O997" i="1"/>
  <c r="B997" i="1"/>
  <c r="O996" i="1"/>
  <c r="B996" i="1"/>
  <c r="O995" i="1"/>
  <c r="B995" i="1"/>
  <c r="O994" i="1"/>
  <c r="B994" i="1"/>
  <c r="O993" i="1"/>
  <c r="B993" i="1"/>
  <c r="O992" i="1"/>
  <c r="B992" i="1"/>
  <c r="O991" i="1"/>
  <c r="B991" i="1"/>
  <c r="O990" i="1"/>
  <c r="B990" i="1"/>
  <c r="O989" i="1"/>
  <c r="B989" i="1"/>
  <c r="O988" i="1"/>
  <c r="B988" i="1"/>
  <c r="O987" i="1"/>
  <c r="B987" i="1"/>
  <c r="O986" i="1"/>
  <c r="B986" i="1"/>
  <c r="O985" i="1"/>
  <c r="B985" i="1"/>
  <c r="O984" i="1"/>
  <c r="B984" i="1"/>
  <c r="O983" i="1"/>
  <c r="B983" i="1"/>
  <c r="O982" i="1"/>
  <c r="B982" i="1"/>
  <c r="O981" i="1"/>
  <c r="B981" i="1"/>
  <c r="O980" i="1"/>
  <c r="B980" i="1"/>
  <c r="O979" i="1"/>
  <c r="B979" i="1"/>
  <c r="O978" i="1"/>
  <c r="B978" i="1"/>
  <c r="O977" i="1"/>
  <c r="B977" i="1"/>
  <c r="O976" i="1"/>
  <c r="B976" i="1"/>
  <c r="O975" i="1"/>
  <c r="B975" i="1"/>
  <c r="O974" i="1"/>
  <c r="B974" i="1"/>
  <c r="O973" i="1"/>
  <c r="B973" i="1"/>
  <c r="O972" i="1"/>
  <c r="B972" i="1"/>
  <c r="O971" i="1"/>
  <c r="B971" i="1"/>
  <c r="O970" i="1"/>
  <c r="B970" i="1"/>
  <c r="O969" i="1"/>
  <c r="B969" i="1"/>
  <c r="O968" i="1"/>
  <c r="B968" i="1"/>
  <c r="O967" i="1"/>
  <c r="B967" i="1"/>
  <c r="O966" i="1"/>
  <c r="B966" i="1"/>
  <c r="O965" i="1"/>
  <c r="B965" i="1"/>
  <c r="O964" i="1"/>
  <c r="B964" i="1"/>
  <c r="O963" i="1"/>
  <c r="B963" i="1"/>
  <c r="O962" i="1"/>
  <c r="O961" i="1"/>
  <c r="B961" i="1"/>
  <c r="O960" i="1"/>
  <c r="B960" i="1"/>
  <c r="O959" i="1"/>
  <c r="B959" i="1"/>
  <c r="O958" i="1"/>
  <c r="B958" i="1"/>
  <c r="O957" i="1"/>
  <c r="B957" i="1"/>
  <c r="O956" i="1"/>
  <c r="B956" i="1"/>
  <c r="O955" i="1"/>
  <c r="B955" i="1"/>
  <c r="O954" i="1"/>
  <c r="B954" i="1"/>
  <c r="O953" i="1"/>
  <c r="B953" i="1"/>
  <c r="O952" i="1"/>
  <c r="B952" i="1"/>
  <c r="O951" i="1"/>
  <c r="B951" i="1"/>
  <c r="O950" i="1"/>
  <c r="B950" i="1"/>
  <c r="O949" i="1"/>
  <c r="B949" i="1"/>
  <c r="O948" i="1"/>
  <c r="B948" i="1"/>
  <c r="O947" i="1"/>
  <c r="B947" i="1"/>
  <c r="O946" i="1"/>
  <c r="B946" i="1"/>
  <c r="O945" i="1"/>
  <c r="B945" i="1"/>
  <c r="O944" i="1"/>
  <c r="B944" i="1"/>
  <c r="O943" i="1"/>
  <c r="B943" i="1"/>
  <c r="O942" i="1"/>
  <c r="B942" i="1"/>
  <c r="O941" i="1"/>
  <c r="B941" i="1"/>
  <c r="O940" i="1"/>
  <c r="B940" i="1"/>
  <c r="O939" i="1"/>
  <c r="B939" i="1"/>
  <c r="O938" i="1"/>
  <c r="B938" i="1"/>
  <c r="O937" i="1"/>
  <c r="B937" i="1"/>
  <c r="O936" i="1"/>
  <c r="B936" i="1"/>
  <c r="O935" i="1"/>
  <c r="B935" i="1"/>
  <c r="O934" i="1"/>
  <c r="B934" i="1"/>
  <c r="O933" i="1"/>
  <c r="B933" i="1"/>
  <c r="O932" i="1"/>
  <c r="B932" i="1"/>
  <c r="O931" i="1"/>
  <c r="B931" i="1"/>
  <c r="O930" i="1"/>
  <c r="B930" i="1"/>
  <c r="O929" i="1"/>
  <c r="B929" i="1"/>
  <c r="O928" i="1"/>
  <c r="B928" i="1"/>
  <c r="O927" i="1"/>
  <c r="B927" i="1"/>
  <c r="O926" i="1"/>
  <c r="B926" i="1"/>
  <c r="O925" i="1"/>
  <c r="B925" i="1"/>
  <c r="O924" i="1"/>
  <c r="B924" i="1"/>
  <c r="O923" i="1"/>
  <c r="B923" i="1"/>
  <c r="O922" i="1"/>
  <c r="B922" i="1"/>
  <c r="O921" i="1"/>
  <c r="B921" i="1"/>
  <c r="O920" i="1"/>
  <c r="B920" i="1"/>
  <c r="O919" i="1"/>
  <c r="B919" i="1"/>
  <c r="O918" i="1"/>
  <c r="B918" i="1"/>
  <c r="O917" i="1"/>
  <c r="B917" i="1"/>
  <c r="O916" i="1"/>
  <c r="B916" i="1"/>
  <c r="O915" i="1"/>
  <c r="B915" i="1"/>
  <c r="O914" i="1"/>
  <c r="B914" i="1"/>
  <c r="O913" i="1"/>
  <c r="B913" i="1"/>
  <c r="O912" i="1"/>
  <c r="B912" i="1"/>
  <c r="O911" i="1"/>
  <c r="B911" i="1"/>
  <c r="O910" i="1"/>
  <c r="B910" i="1"/>
  <c r="O909" i="1"/>
  <c r="B909" i="1"/>
  <c r="O908" i="1"/>
  <c r="B908" i="1"/>
  <c r="O907" i="1"/>
  <c r="B907" i="1"/>
  <c r="O906" i="1"/>
  <c r="B906" i="1"/>
  <c r="O905" i="1"/>
  <c r="B905" i="1"/>
  <c r="O904" i="1"/>
  <c r="B904" i="1"/>
  <c r="O903" i="1"/>
  <c r="B903" i="1"/>
  <c r="O902" i="1"/>
  <c r="B902" i="1"/>
  <c r="O901" i="1"/>
  <c r="B901" i="1"/>
  <c r="O900" i="1"/>
  <c r="B900" i="1"/>
  <c r="O899" i="1"/>
  <c r="B899" i="1"/>
  <c r="O898" i="1"/>
  <c r="B898" i="1"/>
  <c r="O897" i="1"/>
  <c r="B897" i="1"/>
  <c r="O896" i="1"/>
  <c r="B896" i="1"/>
  <c r="O895" i="1"/>
  <c r="B895" i="1"/>
  <c r="O894" i="1"/>
  <c r="B894" i="1"/>
  <c r="O893" i="1"/>
  <c r="B893" i="1"/>
  <c r="O892" i="1"/>
  <c r="B892" i="1"/>
  <c r="O891" i="1"/>
  <c r="B891" i="1"/>
  <c r="O890" i="1"/>
  <c r="B890" i="1"/>
  <c r="O889" i="1"/>
  <c r="B889" i="1"/>
  <c r="O888" i="1"/>
  <c r="B888" i="1"/>
  <c r="O887" i="1"/>
  <c r="B887" i="1"/>
  <c r="O886" i="1"/>
  <c r="B886" i="1"/>
  <c r="O885" i="1"/>
  <c r="B885" i="1"/>
  <c r="O884" i="1"/>
  <c r="B884" i="1"/>
  <c r="O883" i="1"/>
  <c r="B883" i="1"/>
  <c r="O882" i="1"/>
  <c r="B882" i="1"/>
  <c r="O881" i="1"/>
  <c r="B881" i="1"/>
  <c r="O880" i="1"/>
  <c r="B880" i="1"/>
  <c r="O879" i="1"/>
  <c r="B879" i="1"/>
  <c r="O878" i="1"/>
  <c r="B878" i="1"/>
  <c r="O877" i="1"/>
  <c r="B877" i="1"/>
  <c r="O876" i="1"/>
  <c r="B876" i="1"/>
  <c r="O875" i="1"/>
  <c r="B875" i="1"/>
  <c r="O874" i="1"/>
  <c r="B874" i="1"/>
  <c r="O873" i="1"/>
  <c r="B873" i="1"/>
  <c r="O872" i="1"/>
  <c r="B872" i="1"/>
  <c r="O871" i="1"/>
  <c r="B871" i="1"/>
  <c r="O870" i="1"/>
  <c r="B870" i="1"/>
  <c r="O869" i="1"/>
  <c r="B869" i="1"/>
  <c r="O868" i="1"/>
  <c r="B868" i="1"/>
  <c r="O867" i="1"/>
  <c r="B867" i="1"/>
  <c r="O866" i="1"/>
  <c r="B866" i="1"/>
  <c r="O865" i="1"/>
  <c r="B865" i="1"/>
  <c r="O864" i="1"/>
  <c r="B864" i="1"/>
  <c r="O863" i="1"/>
  <c r="B863" i="1"/>
  <c r="O862" i="1"/>
  <c r="B862" i="1"/>
  <c r="O861" i="1"/>
  <c r="B861" i="1"/>
  <c r="O860" i="1"/>
  <c r="B860" i="1"/>
  <c r="O859" i="1"/>
  <c r="B859" i="1"/>
  <c r="O858" i="1"/>
  <c r="B858" i="1"/>
  <c r="O857" i="1"/>
  <c r="B857" i="1"/>
  <c r="O856" i="1"/>
  <c r="B856" i="1"/>
  <c r="O855" i="1"/>
  <c r="B855" i="1"/>
  <c r="O854" i="1"/>
  <c r="B854" i="1"/>
  <c r="O853" i="1"/>
  <c r="B853" i="1"/>
  <c r="O852" i="1"/>
  <c r="B852" i="1"/>
  <c r="O851" i="1"/>
  <c r="B851" i="1"/>
  <c r="O850" i="1"/>
  <c r="B850" i="1"/>
  <c r="O849" i="1"/>
  <c r="B849" i="1"/>
  <c r="O848" i="1"/>
  <c r="B848" i="1"/>
  <c r="O847" i="1"/>
  <c r="B847" i="1"/>
  <c r="O846" i="1"/>
  <c r="B846" i="1"/>
  <c r="O845" i="1"/>
  <c r="B845" i="1"/>
  <c r="O844" i="1"/>
  <c r="B844" i="1"/>
  <c r="O843" i="1"/>
  <c r="B843" i="1"/>
  <c r="O842" i="1"/>
  <c r="B842" i="1"/>
  <c r="O841" i="1"/>
  <c r="B841" i="1"/>
  <c r="O840" i="1"/>
  <c r="B840" i="1"/>
  <c r="O839" i="1"/>
  <c r="B839" i="1"/>
  <c r="O838" i="1"/>
  <c r="B838" i="1"/>
  <c r="O837" i="1"/>
  <c r="B837" i="1"/>
  <c r="O836" i="1"/>
  <c r="B836" i="1"/>
  <c r="O835" i="1"/>
  <c r="B835" i="1"/>
  <c r="O834" i="1"/>
  <c r="B834" i="1"/>
  <c r="O833" i="1"/>
  <c r="B833" i="1"/>
  <c r="O832" i="1"/>
  <c r="B832" i="1"/>
  <c r="O831" i="1"/>
  <c r="B831" i="1"/>
  <c r="O830" i="1"/>
  <c r="B830" i="1"/>
  <c r="O829" i="1"/>
  <c r="B829" i="1"/>
  <c r="O828" i="1"/>
  <c r="B828" i="1"/>
  <c r="O827" i="1"/>
  <c r="B827" i="1"/>
  <c r="O826" i="1"/>
  <c r="B826" i="1"/>
  <c r="O825" i="1"/>
  <c r="B825" i="1"/>
  <c r="O824" i="1"/>
  <c r="B824" i="1"/>
  <c r="O823" i="1"/>
  <c r="B823" i="1"/>
  <c r="O822" i="1"/>
  <c r="B822" i="1"/>
  <c r="O821" i="1"/>
  <c r="B821" i="1"/>
  <c r="O820" i="1"/>
  <c r="B820" i="1"/>
  <c r="O819" i="1"/>
  <c r="B819" i="1"/>
  <c r="O818" i="1"/>
  <c r="B818" i="1"/>
  <c r="O817" i="1"/>
  <c r="B817" i="1"/>
  <c r="O816" i="1"/>
  <c r="B816" i="1"/>
  <c r="O815" i="1"/>
  <c r="B815" i="1"/>
  <c r="O814" i="1"/>
  <c r="B814" i="1"/>
  <c r="O813" i="1"/>
  <c r="B813" i="1"/>
  <c r="O812" i="1"/>
  <c r="B812" i="1"/>
  <c r="O811" i="1"/>
  <c r="B811" i="1"/>
  <c r="O810" i="1"/>
  <c r="B810" i="1"/>
  <c r="O809" i="1"/>
  <c r="B809" i="1"/>
  <c r="O808" i="1"/>
  <c r="B808" i="1"/>
  <c r="O807" i="1"/>
  <c r="B807" i="1"/>
  <c r="O806" i="1"/>
  <c r="B806" i="1"/>
  <c r="O805" i="1"/>
  <c r="B805" i="1"/>
  <c r="O804" i="1"/>
  <c r="B804" i="1"/>
  <c r="O803" i="1"/>
  <c r="B803" i="1"/>
  <c r="O802" i="1"/>
  <c r="B802" i="1"/>
  <c r="O801" i="1"/>
  <c r="B801" i="1"/>
  <c r="O800" i="1"/>
  <c r="B800" i="1"/>
  <c r="O799" i="1"/>
  <c r="B799" i="1"/>
  <c r="O798" i="1"/>
  <c r="B798" i="1"/>
  <c r="O797" i="1"/>
  <c r="B797" i="1"/>
  <c r="O796" i="1"/>
  <c r="B796" i="1"/>
  <c r="O795" i="1"/>
  <c r="B795" i="1"/>
  <c r="O794" i="1"/>
  <c r="B794" i="1"/>
  <c r="O793" i="1"/>
  <c r="B793" i="1"/>
  <c r="O792" i="1"/>
  <c r="B792" i="1"/>
  <c r="O791" i="1"/>
  <c r="B791" i="1"/>
  <c r="O790" i="1"/>
  <c r="B790" i="1"/>
  <c r="O789" i="1"/>
  <c r="B789" i="1"/>
  <c r="O788" i="1"/>
  <c r="B788" i="1"/>
  <c r="O787" i="1"/>
  <c r="B787" i="1"/>
  <c r="O786" i="1"/>
  <c r="B786" i="1"/>
  <c r="O785" i="1"/>
  <c r="B785" i="1"/>
  <c r="O784" i="1"/>
  <c r="B784" i="1"/>
  <c r="O783" i="1"/>
  <c r="B783" i="1"/>
  <c r="O782" i="1"/>
  <c r="B782" i="1"/>
  <c r="O781" i="1"/>
  <c r="B781" i="1"/>
  <c r="O780" i="1"/>
  <c r="B780" i="1"/>
  <c r="O779" i="1"/>
  <c r="B779" i="1"/>
  <c r="O778" i="1"/>
  <c r="B778" i="1"/>
  <c r="O777" i="1"/>
  <c r="B777" i="1"/>
  <c r="O776" i="1"/>
  <c r="B776" i="1"/>
  <c r="O775" i="1"/>
  <c r="B775" i="1"/>
  <c r="O774" i="1"/>
  <c r="B774" i="1"/>
  <c r="O773" i="1"/>
  <c r="B773" i="1"/>
  <c r="O772" i="1"/>
  <c r="B772" i="1"/>
  <c r="O771" i="1"/>
  <c r="B771" i="1"/>
  <c r="O770" i="1"/>
  <c r="B770" i="1"/>
  <c r="O769" i="1"/>
  <c r="B769" i="1"/>
  <c r="O768" i="1"/>
  <c r="B768" i="1"/>
  <c r="O767" i="1"/>
  <c r="B767" i="1"/>
  <c r="O766" i="1"/>
  <c r="B766" i="1"/>
  <c r="O765" i="1"/>
  <c r="B765" i="1"/>
  <c r="O764" i="1"/>
  <c r="B764" i="1"/>
  <c r="O763" i="1"/>
  <c r="B763" i="1"/>
  <c r="O762" i="1"/>
  <c r="B762" i="1"/>
  <c r="O761" i="1"/>
  <c r="B761" i="1"/>
  <c r="O760" i="1"/>
  <c r="B760" i="1"/>
  <c r="O759" i="1"/>
  <c r="B759" i="1"/>
  <c r="O758" i="1"/>
  <c r="B758" i="1"/>
  <c r="O757" i="1"/>
  <c r="B757" i="1"/>
  <c r="O756" i="1"/>
  <c r="B756" i="1"/>
  <c r="O755" i="1"/>
  <c r="B755" i="1"/>
  <c r="O754" i="1"/>
  <c r="B754" i="1"/>
  <c r="O753" i="1"/>
  <c r="B753" i="1"/>
  <c r="O752" i="1"/>
  <c r="B752" i="1"/>
  <c r="O751" i="1"/>
  <c r="B751" i="1"/>
  <c r="O750" i="1"/>
  <c r="B750" i="1"/>
  <c r="O749" i="1"/>
  <c r="B749" i="1"/>
  <c r="O748" i="1"/>
  <c r="B748" i="1"/>
  <c r="O747" i="1"/>
  <c r="B747" i="1"/>
  <c r="O746" i="1"/>
  <c r="B746" i="1"/>
  <c r="O745" i="1"/>
  <c r="B745" i="1"/>
  <c r="O744" i="1"/>
  <c r="B744" i="1"/>
  <c r="O743" i="1"/>
  <c r="B743" i="1"/>
  <c r="O742" i="1"/>
  <c r="B742" i="1"/>
  <c r="O741" i="1"/>
  <c r="B741" i="1"/>
  <c r="O740" i="1"/>
  <c r="B740" i="1"/>
  <c r="O739" i="1"/>
  <c r="B739" i="1"/>
  <c r="O738" i="1"/>
  <c r="B738" i="1"/>
  <c r="O737" i="1"/>
  <c r="B737" i="1"/>
  <c r="O736" i="1"/>
  <c r="B736" i="1"/>
  <c r="O735" i="1"/>
  <c r="B735" i="1"/>
  <c r="O734" i="1"/>
  <c r="B734" i="1"/>
  <c r="O733" i="1"/>
  <c r="B733" i="1"/>
  <c r="O732" i="1"/>
  <c r="B732" i="1"/>
  <c r="O731" i="1"/>
  <c r="B731" i="1"/>
  <c r="O730" i="1"/>
  <c r="B730" i="1"/>
  <c r="O729" i="1"/>
  <c r="B729" i="1"/>
  <c r="O728" i="1"/>
  <c r="B728" i="1"/>
  <c r="O727" i="1"/>
  <c r="B727" i="1"/>
  <c r="O726" i="1"/>
  <c r="B726" i="1"/>
  <c r="O725" i="1"/>
  <c r="B725" i="1"/>
  <c r="O724" i="1"/>
  <c r="B724" i="1"/>
  <c r="O723" i="1"/>
  <c r="B723" i="1"/>
  <c r="O722" i="1"/>
  <c r="B722" i="1"/>
  <c r="O721" i="1"/>
  <c r="B721" i="1"/>
  <c r="O720" i="1"/>
  <c r="B720" i="1"/>
  <c r="O719" i="1"/>
  <c r="B719" i="1"/>
  <c r="O718" i="1"/>
  <c r="B718" i="1"/>
  <c r="O717" i="1"/>
  <c r="B717" i="1"/>
  <c r="O716" i="1"/>
  <c r="B716" i="1"/>
  <c r="O715" i="1"/>
  <c r="B715" i="1"/>
  <c r="O714" i="1"/>
  <c r="B714" i="1"/>
  <c r="O713" i="1"/>
  <c r="B713" i="1"/>
  <c r="O712" i="1"/>
  <c r="B712" i="1"/>
  <c r="O711" i="1"/>
  <c r="B711" i="1"/>
  <c r="O710" i="1"/>
  <c r="B710" i="1"/>
  <c r="O709" i="1"/>
  <c r="B709" i="1"/>
  <c r="O708" i="1"/>
  <c r="B708" i="1"/>
  <c r="O707" i="1"/>
  <c r="B707" i="1"/>
  <c r="O706" i="1"/>
  <c r="B706" i="1"/>
  <c r="O705" i="1"/>
  <c r="B705" i="1"/>
  <c r="O704" i="1"/>
  <c r="B704" i="1"/>
  <c r="O703" i="1"/>
  <c r="B703" i="1"/>
  <c r="O702" i="1"/>
  <c r="B702" i="1"/>
  <c r="O701" i="1"/>
  <c r="B701" i="1"/>
  <c r="O700" i="1"/>
  <c r="B700" i="1"/>
  <c r="O699" i="1"/>
  <c r="B699" i="1"/>
  <c r="O698" i="1"/>
  <c r="B698" i="1"/>
  <c r="O697" i="1"/>
  <c r="B697" i="1"/>
  <c r="O696" i="1"/>
  <c r="B696" i="1"/>
  <c r="O695" i="1"/>
  <c r="B695" i="1"/>
  <c r="O694" i="1"/>
  <c r="B694" i="1"/>
  <c r="O693" i="1"/>
  <c r="B693" i="1"/>
  <c r="O692" i="1"/>
  <c r="B692" i="1"/>
  <c r="O691" i="1"/>
  <c r="B691" i="1"/>
  <c r="O690" i="1"/>
  <c r="B690" i="1"/>
  <c r="O689" i="1"/>
  <c r="B689" i="1"/>
  <c r="O688" i="1"/>
  <c r="B688" i="1"/>
  <c r="O687" i="1"/>
  <c r="B687" i="1"/>
  <c r="O686" i="1"/>
  <c r="B686" i="1"/>
  <c r="O685" i="1"/>
  <c r="B685" i="1"/>
  <c r="O684" i="1"/>
  <c r="B684" i="1"/>
  <c r="O683" i="1"/>
  <c r="B683" i="1"/>
  <c r="O682" i="1"/>
  <c r="B682" i="1"/>
  <c r="O681" i="1"/>
  <c r="B681" i="1"/>
  <c r="O680" i="1"/>
  <c r="B680" i="1"/>
  <c r="O679" i="1"/>
  <c r="B679" i="1"/>
  <c r="O678" i="1"/>
  <c r="B678" i="1"/>
  <c r="O677" i="1"/>
  <c r="B677" i="1"/>
  <c r="O676" i="1"/>
  <c r="B676" i="1"/>
  <c r="O675" i="1"/>
  <c r="B675" i="1"/>
  <c r="O674" i="1"/>
  <c r="B674" i="1"/>
  <c r="O673" i="1"/>
  <c r="B673" i="1"/>
  <c r="O672" i="1"/>
  <c r="B672" i="1"/>
  <c r="O671" i="1"/>
  <c r="B671" i="1"/>
  <c r="O670" i="1"/>
  <c r="B670" i="1"/>
  <c r="O669" i="1"/>
  <c r="B669" i="1"/>
  <c r="O668" i="1"/>
  <c r="B668" i="1"/>
  <c r="O667" i="1"/>
  <c r="B667" i="1"/>
  <c r="O666" i="1"/>
  <c r="B666" i="1"/>
  <c r="O665" i="1"/>
  <c r="B665" i="1"/>
  <c r="O664" i="1"/>
  <c r="B664" i="1"/>
  <c r="O663" i="1"/>
  <c r="B663" i="1"/>
  <c r="O662" i="1"/>
  <c r="B662" i="1"/>
  <c r="O661" i="1"/>
  <c r="B661" i="1"/>
  <c r="O660" i="1"/>
  <c r="B660" i="1"/>
  <c r="O659" i="1"/>
  <c r="B659" i="1"/>
  <c r="O658" i="1"/>
  <c r="B658" i="1"/>
  <c r="O657" i="1"/>
  <c r="B657" i="1"/>
  <c r="O656" i="1"/>
  <c r="B656" i="1"/>
  <c r="O655" i="1"/>
  <c r="B655" i="1"/>
  <c r="O654" i="1"/>
  <c r="B654" i="1"/>
  <c r="O653" i="1"/>
  <c r="B653" i="1"/>
  <c r="O652" i="1"/>
  <c r="B652" i="1"/>
  <c r="O651" i="1"/>
  <c r="B651" i="1"/>
  <c r="O650" i="1"/>
  <c r="B650" i="1"/>
  <c r="O649" i="1"/>
  <c r="B649" i="1"/>
  <c r="O648" i="1"/>
  <c r="B648" i="1"/>
  <c r="O647" i="1"/>
  <c r="B647" i="1"/>
  <c r="O646" i="1"/>
  <c r="B646" i="1"/>
  <c r="O645" i="1"/>
  <c r="B645" i="1"/>
  <c r="O644" i="1"/>
  <c r="B644" i="1"/>
  <c r="O643" i="1"/>
  <c r="B643" i="1"/>
  <c r="O642" i="1"/>
  <c r="B642" i="1"/>
  <c r="O641" i="1"/>
  <c r="B641" i="1"/>
  <c r="O640" i="1"/>
  <c r="B640" i="1"/>
  <c r="O639" i="1"/>
  <c r="B639" i="1"/>
  <c r="O638" i="1"/>
  <c r="B638" i="1"/>
  <c r="O637" i="1"/>
  <c r="B637" i="1"/>
  <c r="O636" i="1"/>
  <c r="B636" i="1"/>
  <c r="O635" i="1"/>
  <c r="B635" i="1"/>
  <c r="O634" i="1"/>
  <c r="B634" i="1"/>
  <c r="O633" i="1"/>
  <c r="B633" i="1"/>
  <c r="O632" i="1"/>
  <c r="B632" i="1"/>
  <c r="O631" i="1"/>
  <c r="B631" i="1"/>
  <c r="O630" i="1"/>
  <c r="B630" i="1"/>
  <c r="O629" i="1"/>
  <c r="B629" i="1"/>
  <c r="O628" i="1"/>
  <c r="B628" i="1"/>
  <c r="O627" i="1"/>
  <c r="B627" i="1"/>
  <c r="O626" i="1"/>
  <c r="B626" i="1"/>
  <c r="O625" i="1"/>
  <c r="B625" i="1"/>
  <c r="O624" i="1"/>
  <c r="B624" i="1"/>
  <c r="O623" i="1"/>
  <c r="B623" i="1"/>
  <c r="O622" i="1"/>
  <c r="B622" i="1"/>
  <c r="O621" i="1"/>
  <c r="B621" i="1"/>
  <c r="O620" i="1"/>
  <c r="B620" i="1"/>
  <c r="O619" i="1"/>
  <c r="B619" i="1"/>
  <c r="O618" i="1"/>
  <c r="B618" i="1"/>
  <c r="O617" i="1"/>
  <c r="B617" i="1"/>
  <c r="O616" i="1"/>
  <c r="B616" i="1"/>
  <c r="O615" i="1"/>
  <c r="B615" i="1"/>
  <c r="O614" i="1"/>
  <c r="B614" i="1"/>
  <c r="O613" i="1"/>
  <c r="B613" i="1"/>
  <c r="O612" i="1"/>
  <c r="B612" i="1"/>
  <c r="O611" i="1"/>
  <c r="B611" i="1"/>
  <c r="O610" i="1"/>
  <c r="B610" i="1"/>
  <c r="O609" i="1"/>
  <c r="B609" i="1"/>
  <c r="O608" i="1"/>
  <c r="B608" i="1"/>
  <c r="O607" i="1"/>
  <c r="B607" i="1"/>
  <c r="O606" i="1"/>
  <c r="B606" i="1"/>
  <c r="O605" i="1"/>
  <c r="B605" i="1"/>
  <c r="O604" i="1"/>
  <c r="B604" i="1"/>
  <c r="O603" i="1"/>
  <c r="B603" i="1"/>
  <c r="O602" i="1"/>
  <c r="B602" i="1"/>
  <c r="O601" i="1"/>
  <c r="B601" i="1"/>
  <c r="O600" i="1"/>
  <c r="B600" i="1"/>
  <c r="O599" i="1"/>
  <c r="B599" i="1"/>
  <c r="O598" i="1"/>
  <c r="B598" i="1"/>
  <c r="O597" i="1"/>
  <c r="B597" i="1"/>
  <c r="O596" i="1"/>
  <c r="B596" i="1"/>
  <c r="O595" i="1"/>
  <c r="B595" i="1"/>
  <c r="O594" i="1"/>
  <c r="B594" i="1"/>
  <c r="O593" i="1"/>
  <c r="B593" i="1"/>
  <c r="O592" i="1"/>
  <c r="B592" i="1"/>
  <c r="O591" i="1"/>
  <c r="B591" i="1"/>
  <c r="O590" i="1"/>
  <c r="B590" i="1"/>
  <c r="O589" i="1"/>
  <c r="B589" i="1"/>
  <c r="O588" i="1"/>
  <c r="B588" i="1"/>
  <c r="O587" i="1"/>
  <c r="B587" i="1"/>
  <c r="O586" i="1"/>
  <c r="B586" i="1"/>
  <c r="O585" i="1"/>
  <c r="B585" i="1"/>
  <c r="O584" i="1"/>
  <c r="B584" i="1"/>
  <c r="O583" i="1"/>
  <c r="B583" i="1"/>
  <c r="O582" i="1"/>
  <c r="B582" i="1"/>
  <c r="O581" i="1"/>
  <c r="B581" i="1"/>
  <c r="O580" i="1"/>
  <c r="B580" i="1"/>
  <c r="O579" i="1"/>
  <c r="B579" i="1"/>
  <c r="O578" i="1"/>
  <c r="B578" i="1"/>
  <c r="O577" i="1"/>
  <c r="B577" i="1"/>
  <c r="O576" i="1"/>
  <c r="B576" i="1"/>
  <c r="O575" i="1"/>
  <c r="B575" i="1"/>
  <c r="O574" i="1"/>
  <c r="B574" i="1"/>
  <c r="O573" i="1"/>
  <c r="B573" i="1"/>
  <c r="O572" i="1"/>
  <c r="B572" i="1"/>
  <c r="O571" i="1"/>
  <c r="B571" i="1"/>
  <c r="O570" i="1"/>
  <c r="B570" i="1"/>
  <c r="O569" i="1"/>
  <c r="B569" i="1"/>
  <c r="O568" i="1"/>
  <c r="B568" i="1"/>
  <c r="O567" i="1"/>
  <c r="B567" i="1"/>
  <c r="O566" i="1"/>
  <c r="B566" i="1"/>
  <c r="O565" i="1"/>
  <c r="B565" i="1"/>
  <c r="O564" i="1"/>
  <c r="B564" i="1"/>
  <c r="O563" i="1"/>
  <c r="B563" i="1"/>
  <c r="O562" i="1"/>
  <c r="B562" i="1"/>
  <c r="O561" i="1"/>
  <c r="B561" i="1"/>
  <c r="O560" i="1"/>
  <c r="B560" i="1"/>
  <c r="O559" i="1"/>
  <c r="B559" i="1"/>
  <c r="O558" i="1"/>
  <c r="B558" i="1"/>
  <c r="O557" i="1"/>
  <c r="B557" i="1"/>
  <c r="O556" i="1"/>
  <c r="B556" i="1"/>
  <c r="O555" i="1"/>
  <c r="B555" i="1"/>
  <c r="O554" i="1"/>
  <c r="B554" i="1"/>
  <c r="O553" i="1"/>
  <c r="B553" i="1"/>
  <c r="O552" i="1"/>
  <c r="B552" i="1"/>
  <c r="O551" i="1"/>
  <c r="B551" i="1"/>
  <c r="O550" i="1"/>
  <c r="B550" i="1"/>
  <c r="O549" i="1"/>
  <c r="B549" i="1"/>
  <c r="O548" i="1"/>
  <c r="B548" i="1"/>
  <c r="O547" i="1"/>
  <c r="B547" i="1"/>
  <c r="O546" i="1"/>
  <c r="B546" i="1"/>
  <c r="O545" i="1"/>
  <c r="B545" i="1"/>
  <c r="O544" i="1"/>
  <c r="B544" i="1"/>
  <c r="O543" i="1"/>
  <c r="B543" i="1"/>
  <c r="O542" i="1"/>
  <c r="B542" i="1"/>
  <c r="O541" i="1"/>
  <c r="B541" i="1"/>
  <c r="O540" i="1"/>
  <c r="B540" i="1"/>
  <c r="O539" i="1"/>
  <c r="B539" i="1"/>
  <c r="O538" i="1"/>
  <c r="B538" i="1"/>
  <c r="O537" i="1"/>
  <c r="B537" i="1"/>
  <c r="O536" i="1"/>
  <c r="B536" i="1"/>
  <c r="O535" i="1"/>
  <c r="B535" i="1"/>
  <c r="O534" i="1"/>
  <c r="B534" i="1"/>
  <c r="O533" i="1"/>
  <c r="B533" i="1"/>
  <c r="O532" i="1"/>
  <c r="B532" i="1"/>
  <c r="O531" i="1"/>
  <c r="B531" i="1"/>
  <c r="O530" i="1"/>
  <c r="B530" i="1"/>
  <c r="O529" i="1"/>
  <c r="B529" i="1"/>
  <c r="O528" i="1"/>
  <c r="B528" i="1"/>
  <c r="O527" i="1"/>
  <c r="B527" i="1"/>
  <c r="O526" i="1"/>
  <c r="B526" i="1"/>
  <c r="O525" i="1"/>
  <c r="B525" i="1"/>
  <c r="O524" i="1"/>
  <c r="B524" i="1"/>
  <c r="O523" i="1"/>
  <c r="B523" i="1"/>
  <c r="O522" i="1"/>
  <c r="B522" i="1"/>
  <c r="O521" i="1"/>
  <c r="B521" i="1"/>
  <c r="O520" i="1"/>
  <c r="B520" i="1"/>
  <c r="O519" i="1"/>
  <c r="B519" i="1"/>
  <c r="O518" i="1"/>
  <c r="B518" i="1"/>
  <c r="O517" i="1"/>
  <c r="B517" i="1"/>
  <c r="O516" i="1"/>
  <c r="B516" i="1"/>
  <c r="O515" i="1"/>
  <c r="B515" i="1"/>
  <c r="O514" i="1"/>
  <c r="B514" i="1"/>
  <c r="O513" i="1"/>
  <c r="B513" i="1"/>
  <c r="O512" i="1"/>
  <c r="B512" i="1"/>
  <c r="O511" i="1"/>
  <c r="B511" i="1"/>
  <c r="O510" i="1"/>
  <c r="B510" i="1"/>
  <c r="O509" i="1"/>
  <c r="B509" i="1"/>
  <c r="O508" i="1"/>
  <c r="B508" i="1"/>
  <c r="O507" i="1"/>
  <c r="B507" i="1"/>
  <c r="O506" i="1"/>
  <c r="B506" i="1"/>
  <c r="O505" i="1"/>
  <c r="B505" i="1"/>
  <c r="O504" i="1"/>
  <c r="B504" i="1"/>
  <c r="O503" i="1"/>
  <c r="B503" i="1"/>
  <c r="O502" i="1"/>
  <c r="B502" i="1"/>
  <c r="O501" i="1"/>
  <c r="B501" i="1"/>
  <c r="O500" i="1"/>
  <c r="B500" i="1"/>
  <c r="O499" i="1"/>
  <c r="B499" i="1"/>
  <c r="O498" i="1"/>
  <c r="B498" i="1"/>
  <c r="O497" i="1"/>
  <c r="B497" i="1"/>
  <c r="O496" i="1"/>
  <c r="B496" i="1"/>
  <c r="O495" i="1"/>
  <c r="B495" i="1"/>
  <c r="O494" i="1"/>
  <c r="B494" i="1"/>
  <c r="O493" i="1"/>
  <c r="B493" i="1"/>
  <c r="O492" i="1"/>
  <c r="B492" i="1"/>
  <c r="O491" i="1"/>
  <c r="B491" i="1"/>
  <c r="O490" i="1"/>
  <c r="B490" i="1"/>
  <c r="O489" i="1"/>
  <c r="B489" i="1"/>
  <c r="O488" i="1"/>
  <c r="B488" i="1"/>
  <c r="O487" i="1"/>
  <c r="B487" i="1"/>
  <c r="O486" i="1"/>
  <c r="B486" i="1"/>
  <c r="O485" i="1"/>
  <c r="B485" i="1"/>
  <c r="O484" i="1"/>
  <c r="B484" i="1"/>
  <c r="O483" i="1"/>
  <c r="B483" i="1"/>
  <c r="O482" i="1"/>
  <c r="B482" i="1"/>
  <c r="O481" i="1"/>
  <c r="B481" i="1"/>
  <c r="O480" i="1"/>
  <c r="B480" i="1"/>
  <c r="O479" i="1"/>
  <c r="B479" i="1"/>
  <c r="O478" i="1"/>
  <c r="B478" i="1"/>
  <c r="O477" i="1"/>
  <c r="B477" i="1"/>
  <c r="O476" i="1"/>
  <c r="B476" i="1"/>
  <c r="O475" i="1"/>
  <c r="B475" i="1"/>
  <c r="O474" i="1"/>
  <c r="B474" i="1"/>
  <c r="O473" i="1"/>
  <c r="B473" i="1"/>
  <c r="O472" i="1"/>
  <c r="B472" i="1"/>
  <c r="O471" i="1"/>
  <c r="B471" i="1"/>
  <c r="O470" i="1"/>
  <c r="B470" i="1"/>
  <c r="O469" i="1"/>
  <c r="B469" i="1"/>
  <c r="O468" i="1"/>
  <c r="B468" i="1"/>
  <c r="O467" i="1"/>
  <c r="B467" i="1"/>
  <c r="O466" i="1"/>
  <c r="B466" i="1"/>
  <c r="O465" i="1"/>
  <c r="B465" i="1"/>
  <c r="O464" i="1"/>
  <c r="B464" i="1"/>
  <c r="O463" i="1"/>
  <c r="B463" i="1"/>
  <c r="O462" i="1"/>
  <c r="B462" i="1"/>
  <c r="O461" i="1"/>
  <c r="B461" i="1"/>
  <c r="O460" i="1"/>
  <c r="B460" i="1"/>
  <c r="O459" i="1"/>
  <c r="B459" i="1"/>
  <c r="O458" i="1"/>
  <c r="B458" i="1"/>
  <c r="O457" i="1"/>
  <c r="B457" i="1"/>
  <c r="O456" i="1"/>
  <c r="B456" i="1"/>
  <c r="O455" i="1"/>
  <c r="B455" i="1"/>
  <c r="O454" i="1"/>
  <c r="B454" i="1"/>
  <c r="O453" i="1"/>
  <c r="B453" i="1"/>
  <c r="O452" i="1"/>
  <c r="B452" i="1"/>
  <c r="O451" i="1"/>
  <c r="B451" i="1"/>
  <c r="O450" i="1"/>
  <c r="B450" i="1"/>
  <c r="O449" i="1"/>
  <c r="B449" i="1"/>
  <c r="O448" i="1"/>
  <c r="B448" i="1"/>
  <c r="O447" i="1"/>
  <c r="B447" i="1"/>
  <c r="O446" i="1"/>
  <c r="B446" i="1"/>
  <c r="O445" i="1"/>
  <c r="B445" i="1"/>
  <c r="O444" i="1"/>
  <c r="B444" i="1"/>
  <c r="O443" i="1"/>
  <c r="B443" i="1"/>
  <c r="O442" i="1"/>
  <c r="B442" i="1"/>
  <c r="O441" i="1"/>
  <c r="B441" i="1"/>
  <c r="O440" i="1"/>
  <c r="B440" i="1"/>
  <c r="O439" i="1"/>
  <c r="B439" i="1"/>
  <c r="O438" i="1"/>
  <c r="B438" i="1"/>
  <c r="O437" i="1"/>
  <c r="B437" i="1"/>
  <c r="O436" i="1"/>
  <c r="B436" i="1"/>
  <c r="O435" i="1"/>
  <c r="B435" i="1"/>
  <c r="O434" i="1"/>
  <c r="B434" i="1"/>
  <c r="O433" i="1"/>
  <c r="B433" i="1"/>
  <c r="O432" i="1"/>
  <c r="B432" i="1"/>
  <c r="O431" i="1"/>
  <c r="B431" i="1"/>
  <c r="O430" i="1"/>
  <c r="B430" i="1"/>
  <c r="O429" i="1"/>
  <c r="B429" i="1"/>
  <c r="O428" i="1"/>
  <c r="B428" i="1"/>
  <c r="O427" i="1"/>
  <c r="B427" i="1"/>
  <c r="O426" i="1"/>
  <c r="B426" i="1"/>
  <c r="O425" i="1"/>
  <c r="B425" i="1"/>
  <c r="O424" i="1"/>
  <c r="B424" i="1"/>
  <c r="O423" i="1"/>
  <c r="B423" i="1"/>
  <c r="O422" i="1"/>
  <c r="B422" i="1"/>
  <c r="O421" i="1"/>
  <c r="B421" i="1"/>
  <c r="O420" i="1"/>
  <c r="B420" i="1"/>
  <c r="O419" i="1"/>
  <c r="B419" i="1"/>
  <c r="O418" i="1"/>
  <c r="B418" i="1"/>
  <c r="O417" i="1"/>
  <c r="B417" i="1"/>
  <c r="O416" i="1"/>
  <c r="B416" i="1"/>
  <c r="O415" i="1"/>
  <c r="B415" i="1"/>
  <c r="O414" i="1"/>
  <c r="B414" i="1"/>
  <c r="O413" i="1"/>
  <c r="B413" i="1"/>
  <c r="O412" i="1"/>
  <c r="B412" i="1"/>
  <c r="O411" i="1"/>
  <c r="B411" i="1"/>
  <c r="O410" i="1"/>
  <c r="B410" i="1"/>
  <c r="O409" i="1"/>
  <c r="B409" i="1"/>
  <c r="O408" i="1"/>
  <c r="B408" i="1"/>
  <c r="O407" i="1"/>
  <c r="B407" i="1"/>
  <c r="O406" i="1"/>
  <c r="B406" i="1"/>
  <c r="O405" i="1"/>
  <c r="B405" i="1"/>
  <c r="O404" i="1"/>
  <c r="B404" i="1"/>
  <c r="O403" i="1"/>
  <c r="B403" i="1"/>
  <c r="O402" i="1"/>
  <c r="B402" i="1"/>
  <c r="O401" i="1"/>
  <c r="B401" i="1"/>
  <c r="O400" i="1"/>
  <c r="B400" i="1"/>
  <c r="O399" i="1"/>
  <c r="B399" i="1"/>
  <c r="O398" i="1"/>
  <c r="B398" i="1"/>
  <c r="O397" i="1"/>
  <c r="B397" i="1"/>
  <c r="O396" i="1"/>
  <c r="B396" i="1"/>
  <c r="O395" i="1"/>
  <c r="B395" i="1"/>
  <c r="O394" i="1"/>
  <c r="B394" i="1"/>
  <c r="O393" i="1"/>
  <c r="B393" i="1"/>
  <c r="O392" i="1"/>
  <c r="B392" i="1"/>
  <c r="O391" i="1"/>
  <c r="B391" i="1"/>
  <c r="O390" i="1"/>
  <c r="B390" i="1"/>
  <c r="O389" i="1"/>
  <c r="B389" i="1"/>
  <c r="O388" i="1"/>
  <c r="B388" i="1"/>
  <c r="O387" i="1"/>
  <c r="B387" i="1"/>
  <c r="O386" i="1"/>
  <c r="B386" i="1"/>
  <c r="O385" i="1"/>
  <c r="B385" i="1"/>
  <c r="O384" i="1"/>
  <c r="B384" i="1"/>
  <c r="O383" i="1"/>
  <c r="B383" i="1"/>
  <c r="O382" i="1"/>
  <c r="B382" i="1"/>
  <c r="O381" i="1"/>
  <c r="B381" i="1"/>
  <c r="O380" i="1"/>
  <c r="B380" i="1"/>
  <c r="O379" i="1"/>
  <c r="B379" i="1"/>
  <c r="O378" i="1"/>
  <c r="B378" i="1"/>
  <c r="O377" i="1"/>
  <c r="B377" i="1"/>
  <c r="O376" i="1"/>
  <c r="B376" i="1"/>
  <c r="O375" i="1"/>
  <c r="B375" i="1"/>
  <c r="O374" i="1"/>
  <c r="B374" i="1"/>
  <c r="O373" i="1"/>
  <c r="B373" i="1"/>
  <c r="O372" i="1"/>
  <c r="B372" i="1"/>
  <c r="O371" i="1"/>
  <c r="B371" i="1"/>
  <c r="O370" i="1"/>
  <c r="B370" i="1"/>
  <c r="O369" i="1"/>
  <c r="B369" i="1"/>
  <c r="O368" i="1"/>
  <c r="B368" i="1"/>
  <c r="O367" i="1"/>
  <c r="B367" i="1"/>
  <c r="O366" i="1"/>
  <c r="B366" i="1"/>
  <c r="O365" i="1"/>
  <c r="B365" i="1"/>
  <c r="O364" i="1"/>
  <c r="B364" i="1"/>
  <c r="O363" i="1"/>
  <c r="B363" i="1"/>
  <c r="O362" i="1"/>
  <c r="B362" i="1"/>
  <c r="O361" i="1"/>
  <c r="B361" i="1"/>
  <c r="O360" i="1"/>
  <c r="B360" i="1"/>
  <c r="O359" i="1"/>
  <c r="B359" i="1"/>
  <c r="O358" i="1"/>
  <c r="B358" i="1"/>
  <c r="O357" i="1"/>
  <c r="B357" i="1"/>
  <c r="O356" i="1"/>
  <c r="B356" i="1"/>
  <c r="O355" i="1"/>
  <c r="B355" i="1"/>
  <c r="O354" i="1"/>
  <c r="B354" i="1"/>
  <c r="O353" i="1"/>
  <c r="B353" i="1"/>
  <c r="O352" i="1"/>
  <c r="B352" i="1"/>
  <c r="O351" i="1"/>
  <c r="B351" i="1"/>
  <c r="O350" i="1"/>
  <c r="B350" i="1"/>
  <c r="O349" i="1"/>
  <c r="B349" i="1"/>
  <c r="O348" i="1"/>
  <c r="B348" i="1"/>
  <c r="O347" i="1"/>
  <c r="B347" i="1"/>
  <c r="O346" i="1"/>
  <c r="B346" i="1"/>
  <c r="O345" i="1"/>
  <c r="B345" i="1"/>
  <c r="O344" i="1"/>
  <c r="B344" i="1"/>
  <c r="O343" i="1"/>
  <c r="B343" i="1"/>
  <c r="O342" i="1"/>
  <c r="O341" i="1"/>
  <c r="O340" i="1"/>
  <c r="B340" i="1"/>
  <c r="O339" i="1"/>
  <c r="B339" i="1"/>
  <c r="O338" i="1"/>
  <c r="B338" i="1"/>
  <c r="O337" i="1"/>
  <c r="B337" i="1"/>
  <c r="O336" i="1"/>
  <c r="B336" i="1"/>
  <c r="O335" i="1"/>
  <c r="B335" i="1"/>
  <c r="O334" i="1"/>
  <c r="B334" i="1"/>
  <c r="O333" i="1"/>
  <c r="B333" i="1"/>
  <c r="O332" i="1"/>
  <c r="B332" i="1"/>
  <c r="O331" i="1"/>
  <c r="B331" i="1"/>
  <c r="O330" i="1"/>
  <c r="B330" i="1"/>
  <c r="O329" i="1"/>
  <c r="B329" i="1"/>
  <c r="O328" i="1"/>
  <c r="B328" i="1"/>
  <c r="O327" i="1"/>
  <c r="B327" i="1"/>
  <c r="O326" i="1"/>
  <c r="B326" i="1"/>
  <c r="O325" i="1"/>
  <c r="B325" i="1"/>
  <c r="O324" i="1"/>
  <c r="B324" i="1"/>
  <c r="O323" i="1"/>
  <c r="B323" i="1"/>
  <c r="O322" i="1"/>
  <c r="B322" i="1"/>
  <c r="O321" i="1"/>
  <c r="B321" i="1"/>
  <c r="O320" i="1"/>
  <c r="B320" i="1"/>
  <c r="O319" i="1"/>
  <c r="B319" i="1"/>
  <c r="O318" i="1"/>
  <c r="B318" i="1"/>
  <c r="O317" i="1"/>
  <c r="B317" i="1"/>
  <c r="O316" i="1"/>
  <c r="B316" i="1"/>
  <c r="O315" i="1"/>
  <c r="B315" i="1"/>
  <c r="O314" i="1"/>
  <c r="B314" i="1"/>
  <c r="O313" i="1"/>
  <c r="B313" i="1"/>
  <c r="O312" i="1"/>
  <c r="B312" i="1"/>
  <c r="O311" i="1"/>
  <c r="B311" i="1"/>
  <c r="O310" i="1"/>
  <c r="B310" i="1"/>
  <c r="O309" i="1"/>
  <c r="B309" i="1"/>
  <c r="O308" i="1"/>
  <c r="B308" i="1"/>
  <c r="O307" i="1"/>
  <c r="B307" i="1"/>
  <c r="O306" i="1"/>
  <c r="B306" i="1"/>
  <c r="O305" i="1"/>
  <c r="B305" i="1"/>
  <c r="O304" i="1"/>
  <c r="B304" i="1"/>
  <c r="O303" i="1"/>
  <c r="B303" i="1"/>
  <c r="O302" i="1"/>
  <c r="B302" i="1"/>
  <c r="O301" i="1"/>
  <c r="B301" i="1"/>
  <c r="O300" i="1"/>
  <c r="B300" i="1"/>
  <c r="O299" i="1"/>
  <c r="B299" i="1"/>
  <c r="O298" i="1"/>
  <c r="B298" i="1"/>
  <c r="O297" i="1"/>
  <c r="B297" i="1"/>
  <c r="O296" i="1"/>
  <c r="B296" i="1"/>
  <c r="O295" i="1"/>
  <c r="B295" i="1"/>
  <c r="O294" i="1"/>
  <c r="B294" i="1"/>
  <c r="O293" i="1"/>
  <c r="B293" i="1"/>
  <c r="O292" i="1"/>
  <c r="B292" i="1"/>
  <c r="O291" i="1"/>
  <c r="B291" i="1"/>
  <c r="O290" i="1"/>
  <c r="B290" i="1"/>
  <c r="O289" i="1"/>
  <c r="B289" i="1"/>
  <c r="O288" i="1"/>
  <c r="B288" i="1"/>
  <c r="O287" i="1"/>
  <c r="B287" i="1"/>
  <c r="O286" i="1"/>
  <c r="B286" i="1"/>
  <c r="O285" i="1"/>
  <c r="B285" i="1"/>
  <c r="O284" i="1"/>
  <c r="B284" i="1"/>
  <c r="O283" i="1"/>
  <c r="B283" i="1"/>
  <c r="O282" i="1"/>
  <c r="B282" i="1"/>
  <c r="O281" i="1"/>
  <c r="B281" i="1"/>
  <c r="O280" i="1"/>
  <c r="B280" i="1"/>
  <c r="O279" i="1"/>
  <c r="B279" i="1"/>
  <c r="O278" i="1"/>
  <c r="B278" i="1"/>
  <c r="O277" i="1"/>
  <c r="B277" i="1"/>
  <c r="O276" i="1"/>
  <c r="B276" i="1"/>
  <c r="O275" i="1"/>
  <c r="B275" i="1"/>
  <c r="O274" i="1"/>
  <c r="B274" i="1"/>
  <c r="O273" i="1"/>
  <c r="B273" i="1"/>
  <c r="O272" i="1"/>
  <c r="B272" i="1"/>
  <c r="O271" i="1"/>
  <c r="B271" i="1"/>
  <c r="O270" i="1"/>
  <c r="B270" i="1"/>
  <c r="O269" i="1"/>
  <c r="B269" i="1"/>
  <c r="O268" i="1"/>
  <c r="B268" i="1"/>
  <c r="O267" i="1"/>
  <c r="B267" i="1"/>
  <c r="O266" i="1"/>
  <c r="B266" i="1"/>
  <c r="O265" i="1"/>
  <c r="B265" i="1"/>
  <c r="O264" i="1"/>
  <c r="B264" i="1"/>
  <c r="O263" i="1"/>
  <c r="B263" i="1"/>
  <c r="O262" i="1"/>
  <c r="B262" i="1"/>
  <c r="O261" i="1"/>
  <c r="B261" i="1"/>
  <c r="O260" i="1"/>
  <c r="B260" i="1"/>
  <c r="O259" i="1"/>
  <c r="B259" i="1"/>
  <c r="O258" i="1"/>
  <c r="B258" i="1"/>
  <c r="O257" i="1"/>
  <c r="B257" i="1"/>
  <c r="O256" i="1"/>
  <c r="B256" i="1"/>
  <c r="O255" i="1"/>
  <c r="B255" i="1"/>
  <c r="O254" i="1"/>
  <c r="B254" i="1"/>
  <c r="O253" i="1"/>
  <c r="B253" i="1"/>
  <c r="O252" i="1"/>
  <c r="B252" i="1"/>
  <c r="O251" i="1"/>
  <c r="B251" i="1"/>
  <c r="O250" i="1"/>
  <c r="B250" i="1"/>
  <c r="O249" i="1"/>
  <c r="B249" i="1"/>
  <c r="O248" i="1"/>
  <c r="B248" i="1"/>
  <c r="O247" i="1"/>
  <c r="B247" i="1"/>
  <c r="O246" i="1"/>
  <c r="B246" i="1"/>
  <c r="O245" i="1"/>
  <c r="B245" i="1"/>
  <c r="O244" i="1"/>
  <c r="B244" i="1"/>
  <c r="O243" i="1"/>
  <c r="B243" i="1"/>
  <c r="O242" i="1"/>
  <c r="B242" i="1"/>
  <c r="O241" i="1"/>
  <c r="B241" i="1"/>
  <c r="O240" i="1"/>
  <c r="B240" i="1"/>
  <c r="O239" i="1"/>
  <c r="B239" i="1"/>
  <c r="O238" i="1"/>
  <c r="B238" i="1"/>
  <c r="O237" i="1"/>
  <c r="B237" i="1"/>
  <c r="O236" i="1"/>
  <c r="B236" i="1"/>
  <c r="O235" i="1"/>
  <c r="O234" i="1"/>
  <c r="O233" i="1"/>
  <c r="B233" i="1"/>
  <c r="O232" i="1"/>
  <c r="B232" i="1"/>
  <c r="O231" i="1"/>
  <c r="B231" i="1"/>
  <c r="O230" i="1"/>
  <c r="B230" i="1"/>
  <c r="O229" i="1"/>
  <c r="B229" i="1"/>
  <c r="O228" i="1"/>
  <c r="B228" i="1"/>
  <c r="O227" i="1"/>
  <c r="B227" i="1"/>
  <c r="O226" i="1"/>
  <c r="B226" i="1"/>
  <c r="O225" i="1"/>
  <c r="B225" i="1"/>
  <c r="O224" i="1"/>
  <c r="B224" i="1"/>
  <c r="O223" i="1"/>
  <c r="B223" i="1"/>
  <c r="O222" i="1"/>
  <c r="B222" i="1"/>
  <c r="O221" i="1"/>
  <c r="B221" i="1"/>
  <c r="O220" i="1"/>
  <c r="B220" i="1"/>
  <c r="O219" i="1"/>
  <c r="B219" i="1"/>
  <c r="O218" i="1"/>
  <c r="B218" i="1"/>
  <c r="O217" i="1"/>
  <c r="B217" i="1"/>
  <c r="O216" i="1"/>
  <c r="B216" i="1"/>
  <c r="O215" i="1"/>
  <c r="B215" i="1"/>
  <c r="O214" i="1"/>
  <c r="B214" i="1"/>
  <c r="O213" i="1"/>
  <c r="B213" i="1"/>
  <c r="O212" i="1"/>
  <c r="B212" i="1"/>
  <c r="O211" i="1"/>
  <c r="B211" i="1"/>
  <c r="O210" i="1"/>
  <c r="B210" i="1"/>
  <c r="O209" i="1"/>
  <c r="B209" i="1"/>
  <c r="O208" i="1"/>
  <c r="B208" i="1"/>
  <c r="O207" i="1"/>
  <c r="B207" i="1"/>
  <c r="O206" i="1"/>
  <c r="B206" i="1"/>
  <c r="O205" i="1"/>
  <c r="B205" i="1"/>
  <c r="O204" i="1"/>
  <c r="B204" i="1"/>
  <c r="O203" i="1"/>
  <c r="B203" i="1"/>
  <c r="O202" i="1"/>
  <c r="B202" i="1"/>
  <c r="O201" i="1"/>
  <c r="B201" i="1"/>
  <c r="O200" i="1"/>
  <c r="B200" i="1"/>
  <c r="O199" i="1"/>
  <c r="B199" i="1"/>
  <c r="O198" i="1"/>
  <c r="B198" i="1"/>
  <c r="O197" i="1"/>
  <c r="B197" i="1"/>
  <c r="O196" i="1"/>
  <c r="B196" i="1"/>
  <c r="O195" i="1"/>
  <c r="B195" i="1"/>
  <c r="O194" i="1"/>
  <c r="B194" i="1"/>
  <c r="O193" i="1"/>
  <c r="B193" i="1"/>
  <c r="O192" i="1"/>
  <c r="B192" i="1"/>
  <c r="O191" i="1"/>
  <c r="B191" i="1"/>
  <c r="O190" i="1"/>
  <c r="B190" i="1"/>
  <c r="O189" i="1"/>
  <c r="B189" i="1"/>
  <c r="O188" i="1"/>
  <c r="B188" i="1"/>
  <c r="O187" i="1"/>
  <c r="B187" i="1"/>
  <c r="O186" i="1"/>
  <c r="B186" i="1"/>
  <c r="O185" i="1"/>
  <c r="B185" i="1"/>
  <c r="O184" i="1"/>
  <c r="O183" i="1"/>
  <c r="O182" i="1"/>
  <c r="B182" i="1"/>
  <c r="O181" i="1"/>
  <c r="B181" i="1"/>
  <c r="O180" i="1"/>
  <c r="B180" i="1"/>
  <c r="O179" i="1"/>
  <c r="B179" i="1"/>
  <c r="O178" i="1"/>
  <c r="B178" i="1"/>
  <c r="O177" i="1"/>
  <c r="B177" i="1"/>
  <c r="O176" i="1"/>
  <c r="B176" i="1"/>
  <c r="O175" i="1"/>
  <c r="B175" i="1"/>
  <c r="O174" i="1"/>
  <c r="B174" i="1"/>
  <c r="O173" i="1"/>
  <c r="B173" i="1"/>
  <c r="O172" i="1"/>
  <c r="B172" i="1"/>
  <c r="O171" i="1"/>
  <c r="B171" i="1"/>
  <c r="O170" i="1"/>
  <c r="B170" i="1"/>
  <c r="O169" i="1"/>
  <c r="B169" i="1"/>
  <c r="O168" i="1"/>
  <c r="B168" i="1"/>
  <c r="O167" i="1"/>
  <c r="B167" i="1"/>
  <c r="O166" i="1"/>
  <c r="B166" i="1"/>
  <c r="O165" i="1"/>
  <c r="B165" i="1"/>
  <c r="O164" i="1"/>
  <c r="B164" i="1"/>
  <c r="O163" i="1"/>
  <c r="B163" i="1"/>
  <c r="O162" i="1"/>
  <c r="B162" i="1"/>
  <c r="O161" i="1"/>
  <c r="B161" i="1"/>
  <c r="O160" i="1"/>
  <c r="B160" i="1"/>
  <c r="O159" i="1"/>
  <c r="B159" i="1"/>
  <c r="O158" i="1"/>
  <c r="B158" i="1"/>
  <c r="O157" i="1"/>
  <c r="B157" i="1"/>
  <c r="O156" i="1"/>
  <c r="B156" i="1"/>
  <c r="O155" i="1"/>
  <c r="B155" i="1"/>
  <c r="O154" i="1"/>
  <c r="B154" i="1"/>
  <c r="O153" i="1"/>
  <c r="B153" i="1"/>
  <c r="O152" i="1"/>
  <c r="B152" i="1"/>
  <c r="O151" i="1"/>
  <c r="B151" i="1"/>
  <c r="O150" i="1"/>
  <c r="B150" i="1"/>
  <c r="O149" i="1"/>
  <c r="B149" i="1"/>
  <c r="O148" i="1"/>
  <c r="B148" i="1"/>
  <c r="O147" i="1"/>
  <c r="B147" i="1"/>
  <c r="O146" i="1"/>
  <c r="B146" i="1"/>
  <c r="O145" i="1"/>
  <c r="B145" i="1"/>
  <c r="O144" i="1"/>
  <c r="B144" i="1"/>
  <c r="O143" i="1"/>
  <c r="B143" i="1"/>
  <c r="O142" i="1"/>
  <c r="B142" i="1"/>
  <c r="O141" i="1"/>
  <c r="B141" i="1"/>
  <c r="O140" i="1"/>
  <c r="B140" i="1"/>
  <c r="O139" i="1"/>
  <c r="B139" i="1"/>
  <c r="O138" i="1"/>
  <c r="B138" i="1"/>
  <c r="O137" i="1"/>
  <c r="B137" i="1"/>
  <c r="O136" i="1"/>
  <c r="B136" i="1"/>
  <c r="O135" i="1"/>
  <c r="B135" i="1"/>
  <c r="O134" i="1"/>
  <c r="B134" i="1"/>
  <c r="O133" i="1"/>
  <c r="B133" i="1"/>
  <c r="O132" i="1"/>
  <c r="B132" i="1"/>
  <c r="O131" i="1"/>
  <c r="B131" i="1"/>
  <c r="O130" i="1"/>
  <c r="B130" i="1"/>
  <c r="O129" i="1"/>
  <c r="B129" i="1"/>
  <c r="O128" i="1"/>
  <c r="B128" i="1"/>
  <c r="O127" i="1"/>
  <c r="B127" i="1"/>
  <c r="O126" i="1"/>
  <c r="B126" i="1"/>
  <c r="O125" i="1"/>
  <c r="B125" i="1"/>
  <c r="O124" i="1"/>
  <c r="B124" i="1"/>
  <c r="O123" i="1"/>
  <c r="B123" i="1"/>
  <c r="O122" i="1"/>
  <c r="B122" i="1"/>
  <c r="O121" i="1"/>
  <c r="B121" i="1"/>
  <c r="O120" i="1"/>
  <c r="B120" i="1"/>
  <c r="O119" i="1"/>
  <c r="B119" i="1"/>
  <c r="O118" i="1"/>
  <c r="B118" i="1"/>
  <c r="O117" i="1"/>
  <c r="B117" i="1"/>
  <c r="O116" i="1"/>
  <c r="B116" i="1"/>
  <c r="O115" i="1"/>
  <c r="B115" i="1"/>
  <c r="O114" i="1"/>
  <c r="B114" i="1"/>
  <c r="O113" i="1"/>
  <c r="B113" i="1"/>
  <c r="O112" i="1"/>
  <c r="B112" i="1"/>
  <c r="O111" i="1"/>
  <c r="B111" i="1"/>
  <c r="O110" i="1"/>
  <c r="B110" i="1"/>
  <c r="O109" i="1"/>
  <c r="B109" i="1"/>
  <c r="O108" i="1"/>
  <c r="B108" i="1"/>
  <c r="O107" i="1"/>
  <c r="B107" i="1"/>
  <c r="O106" i="1"/>
  <c r="B106" i="1"/>
  <c r="O105" i="1"/>
  <c r="B105" i="1"/>
  <c r="O104" i="1"/>
  <c r="B104" i="1"/>
  <c r="O103" i="1"/>
  <c r="B103" i="1"/>
  <c r="O102" i="1"/>
  <c r="B102" i="1"/>
  <c r="O101" i="1"/>
  <c r="B101" i="1"/>
  <c r="O100" i="1"/>
  <c r="B100" i="1"/>
  <c r="O99" i="1"/>
  <c r="B99" i="1"/>
  <c r="O98" i="1"/>
  <c r="B98" i="1"/>
  <c r="O97" i="1"/>
  <c r="B97" i="1"/>
  <c r="O96" i="1"/>
  <c r="B96" i="1"/>
  <c r="O95" i="1"/>
  <c r="B95" i="1"/>
  <c r="O94" i="1"/>
  <c r="B94" i="1"/>
  <c r="O93" i="1"/>
  <c r="B93" i="1"/>
  <c r="O92" i="1"/>
  <c r="B92" i="1"/>
  <c r="O91" i="1"/>
  <c r="B91" i="1"/>
  <c r="O90" i="1"/>
  <c r="B90" i="1"/>
  <c r="O89" i="1"/>
  <c r="B89" i="1"/>
  <c r="O88" i="1"/>
  <c r="B88" i="1"/>
  <c r="O87" i="1"/>
  <c r="B87" i="1"/>
  <c r="O86" i="1"/>
  <c r="B86" i="1"/>
  <c r="O85" i="1"/>
  <c r="B85" i="1"/>
  <c r="O84" i="1"/>
  <c r="B84" i="1"/>
  <c r="O83" i="1"/>
  <c r="B83" i="1"/>
  <c r="O82" i="1"/>
  <c r="B82" i="1"/>
  <c r="O81" i="1"/>
  <c r="B81" i="1"/>
  <c r="O80" i="1"/>
  <c r="B80" i="1"/>
  <c r="O79" i="1"/>
  <c r="B79" i="1"/>
  <c r="O78" i="1"/>
  <c r="B78" i="1"/>
  <c r="O77" i="1"/>
  <c r="B77" i="1"/>
  <c r="O76" i="1"/>
  <c r="B76" i="1"/>
  <c r="O75" i="1"/>
  <c r="B75" i="1"/>
  <c r="O74" i="1"/>
  <c r="B74" i="1"/>
  <c r="O73" i="1"/>
  <c r="B73" i="1"/>
  <c r="O72" i="1"/>
  <c r="B72" i="1"/>
  <c r="O71" i="1"/>
  <c r="B71" i="1"/>
  <c r="O70" i="1"/>
  <c r="B70" i="1"/>
  <c r="O69" i="1"/>
  <c r="B69" i="1"/>
  <c r="O68" i="1"/>
  <c r="B68" i="1"/>
  <c r="O67" i="1"/>
  <c r="B67" i="1"/>
  <c r="O66" i="1"/>
  <c r="B66" i="1"/>
  <c r="O65" i="1"/>
  <c r="B65" i="1"/>
  <c r="O64" i="1"/>
  <c r="B64" i="1"/>
  <c r="O63" i="1"/>
  <c r="B63" i="1"/>
  <c r="O62" i="1"/>
  <c r="B62" i="1"/>
  <c r="O61" i="1"/>
  <c r="B61" i="1"/>
  <c r="O60" i="1"/>
  <c r="B60" i="1"/>
  <c r="O59" i="1"/>
  <c r="B59" i="1"/>
  <c r="O58" i="1"/>
  <c r="B58" i="1"/>
  <c r="O57" i="1"/>
  <c r="B57" i="1"/>
  <c r="O56" i="1"/>
  <c r="B56" i="1"/>
  <c r="O55" i="1"/>
  <c r="B55" i="1"/>
  <c r="O54" i="1"/>
  <c r="B54" i="1"/>
  <c r="O53" i="1"/>
  <c r="B53" i="1"/>
  <c r="O52" i="1"/>
  <c r="B52" i="1"/>
  <c r="O51" i="1"/>
  <c r="B51" i="1"/>
  <c r="O50" i="1"/>
  <c r="B50" i="1"/>
  <c r="O49" i="1"/>
  <c r="B49" i="1"/>
  <c r="O48" i="1"/>
  <c r="B48" i="1"/>
  <c r="O47" i="1"/>
  <c r="B47" i="1"/>
  <c r="O46" i="1"/>
  <c r="B46" i="1"/>
  <c r="O45" i="1"/>
  <c r="B45" i="1"/>
  <c r="O44" i="1"/>
  <c r="B44" i="1"/>
  <c r="O43" i="1"/>
  <c r="B43" i="1"/>
  <c r="O42" i="1"/>
  <c r="B42" i="1"/>
  <c r="O41" i="1"/>
  <c r="B41" i="1"/>
  <c r="O40" i="1"/>
  <c r="B40" i="1"/>
  <c r="O39" i="1"/>
  <c r="B39" i="1"/>
  <c r="O38" i="1"/>
  <c r="B38" i="1"/>
  <c r="O37" i="1"/>
  <c r="B37" i="1"/>
  <c r="O36" i="1"/>
  <c r="B36" i="1"/>
  <c r="O35" i="1"/>
  <c r="B35" i="1"/>
  <c r="O34" i="1"/>
  <c r="B34" i="1"/>
  <c r="O33" i="1"/>
  <c r="B33" i="1"/>
  <c r="O32" i="1"/>
  <c r="B32" i="1"/>
  <c r="O31" i="1"/>
  <c r="B31" i="1"/>
  <c r="O30" i="1"/>
  <c r="B30" i="1"/>
  <c r="O29" i="1"/>
  <c r="B29" i="1"/>
  <c r="O28" i="1"/>
  <c r="B28" i="1"/>
  <c r="O27" i="1"/>
  <c r="B27" i="1"/>
  <c r="O26" i="1"/>
  <c r="B26" i="1"/>
  <c r="O25" i="1"/>
  <c r="B25" i="1"/>
  <c r="O24" i="1"/>
  <c r="B24" i="1"/>
  <c r="O23" i="1"/>
  <c r="B23" i="1"/>
  <c r="O22" i="1"/>
  <c r="B22" i="1"/>
  <c r="O21" i="1"/>
  <c r="B21" i="1"/>
  <c r="O20" i="1"/>
  <c r="B20" i="1"/>
  <c r="O19" i="1"/>
  <c r="B19" i="1"/>
  <c r="O18" i="1"/>
  <c r="B18" i="1"/>
  <c r="O17" i="1"/>
  <c r="B17" i="1"/>
  <c r="O16" i="1"/>
  <c r="B16" i="1"/>
  <c r="O15" i="1"/>
  <c r="B15" i="1"/>
  <c r="O14" i="1"/>
  <c r="B14" i="1"/>
  <c r="O13" i="1"/>
  <c r="B13" i="1"/>
  <c r="O12" i="1"/>
  <c r="B12" i="1"/>
  <c r="O11" i="1"/>
  <c r="B11" i="1"/>
  <c r="O10" i="1"/>
  <c r="B10" i="1"/>
  <c r="O9" i="1"/>
  <c r="B9" i="1"/>
  <c r="O8" i="1"/>
  <c r="B8" i="1"/>
  <c r="O7" i="1"/>
  <c r="B7" i="1"/>
  <c r="O6" i="1"/>
  <c r="B6" i="1"/>
  <c r="O5" i="1"/>
  <c r="B5" i="1"/>
  <c r="O4" i="1"/>
  <c r="B4" i="1"/>
  <c r="O3" i="1"/>
  <c r="B3" i="1"/>
  <c r="O2" i="1"/>
  <c r="B2" i="1"/>
</calcChain>
</file>

<file path=xl/sharedStrings.xml><?xml version="1.0" encoding="utf-8"?>
<sst xmlns="http://schemas.openxmlformats.org/spreadsheetml/2006/main" count="2161" uniqueCount="210">
  <si>
    <t>Card Offers Performance</t>
  </si>
  <si>
    <t>Bank Name</t>
  </si>
  <si>
    <t>No. of Discounted Transactions</t>
  </si>
  <si>
    <t>No. of Free Tickets</t>
  </si>
  <si>
    <t>No. of Tickets</t>
  </si>
  <si>
    <t>Transaction Total (Rs.)</t>
  </si>
  <si>
    <t>Transaction Total Tickets (Rs.)</t>
  </si>
  <si>
    <t>Transaction Total F&amp;B (Rs.)</t>
  </si>
  <si>
    <t>Amount Paid By Customer(Rs.)</t>
  </si>
  <si>
    <t>Discount Amount(Rs.)</t>
  </si>
  <si>
    <t>Discount Contribution  Amount Bank (Rs.)</t>
  </si>
  <si>
    <t>Discount Contribution  Amount Inox (Rs.)</t>
  </si>
  <si>
    <t>Conv.Fees(Rs.)</t>
  </si>
  <si>
    <t>Date</t>
  </si>
  <si>
    <t>Transaction Type</t>
  </si>
  <si>
    <t>Universal Transactions</t>
  </si>
  <si>
    <t>Universal Total Revenue</t>
  </si>
  <si>
    <t>Universal Ticket Revenue</t>
  </si>
  <si>
    <t>Universal Total Admits</t>
  </si>
  <si>
    <t>AU Credit Cards - 20% Off on Movie Ticket          - Digital Platforms</t>
  </si>
  <si>
    <t>2024-04-01</t>
  </si>
  <si>
    <t>AU Credit Cards - Rs.100 Off on F&amp;B                - Digital Platforms</t>
  </si>
  <si>
    <t>AU Credit Cards - Rs.100 Off on F&amp;B                - Refuel</t>
  </si>
  <si>
    <t>Axis Bank Business Supreme Debit Card- Buy 1 Get 1 - Digital Platforms</t>
  </si>
  <si>
    <t>Axis Bank Prestige Debit Card - Buy One Get One    - Digital Platforms</t>
  </si>
  <si>
    <t>Federal Bank - Debit Card Buy 1 Get 1              - Box Office</t>
  </si>
  <si>
    <t>Federal Bank - Debit Card Buy 1 Get 1              - Digital Platforms</t>
  </si>
  <si>
    <t>Federal Bank Celesta Credit Card 1+1               - Box Office</t>
  </si>
  <si>
    <t>Federal Bank Celesta Credit Card 1+1               - Digital Platforms</t>
  </si>
  <si>
    <t>Federal Bank Signet/Imperio Credit Card 1+1        - Box Office</t>
  </si>
  <si>
    <t>Federal Bank Signet/Imperio Credit Card 1+1        - Digital Platforms</t>
  </si>
  <si>
    <t>HSBC Bank -  Credit Card 10% Off on Movie Ticket   - Digital Platforms</t>
  </si>
  <si>
    <t>ICICI Bank - Credit Card 25% off on Movie Ticket   - Box Office</t>
  </si>
  <si>
    <t>ICICI Bank - Credit Card 25% off on Movie Ticket   - Digital Platforms</t>
  </si>
  <si>
    <t>ICICI Bank - Debit Card 25% Off on Movie Ticket    - Box Office</t>
  </si>
  <si>
    <t>ICICI Bank - Debit Card 25% Off on Movie Ticket    - Digital Platforms</t>
  </si>
  <si>
    <t>IDBI Bank - 20% Off on Transactions                - Digital Platforms</t>
  </si>
  <si>
    <t>IDBI Bank - 25% Off on Transactions                - Digital Platforms</t>
  </si>
  <si>
    <t xml:space="preserve">Kotak PVR INOX Credit Card 20% Off on F &amp; B       </t>
  </si>
  <si>
    <t xml:space="preserve">Kotak PVR INOX Credit Card 5% Off on Movie Ticket </t>
  </si>
  <si>
    <t>Standard Chartered Bank – Buy One Get One          - Box Office</t>
  </si>
  <si>
    <t>Standard Chartered Bank – Buy One Get One          - Digital Platforms</t>
  </si>
  <si>
    <t>2024-05-01</t>
  </si>
  <si>
    <t>Axis Bank Business Supreme Debit Card- Buy 1 Get 1 - Box Office</t>
  </si>
  <si>
    <t>Axis Bank Prestige Debit Card - Buy One Get One    - Box Office</t>
  </si>
  <si>
    <t>DBS Debit Card - 20 % off on F&amp;B                   - Digital Platforms</t>
  </si>
  <si>
    <t>IDBI Bank - 20% Off on Transactions                - Box Office</t>
  </si>
  <si>
    <t>IDBI Bank - 20% Off on Transactions                - Refuel</t>
  </si>
  <si>
    <t>IDBI Bank - 25% Off on Transactions                - Box Office</t>
  </si>
  <si>
    <t>IDBI Bank - 25% Off on Transactions                - Refuel</t>
  </si>
  <si>
    <t>2024-06-01</t>
  </si>
  <si>
    <t>Kotak Bank 25% off on all LUX and INSIGNIA Tickets - Digital Platforms</t>
  </si>
  <si>
    <t>Kotak Bank White Reserve Card-Buy 1 Get 1 On Movie - Digital Platforms</t>
  </si>
  <si>
    <t>2024-07-01</t>
  </si>
  <si>
    <t>BOBCARD up to 10 % off* on F&amp;B                     - Digital Platforms</t>
  </si>
  <si>
    <t>BOBCARD up to 10 % off* on F&amp;B                     - Refuel</t>
  </si>
  <si>
    <t>BOBCARD up to 25 % off* on Movie Ticket            - Digital Platforms</t>
  </si>
  <si>
    <t xml:space="preserve">Kotak PVR INOX Credit Card 25% Off on F &amp; B       </t>
  </si>
  <si>
    <t xml:space="preserve">Kotak PVR INOX Credit Card 5% Off on Tickets      </t>
  </si>
  <si>
    <t>AU Credit Cards - 20% Off on Movie Ticket          - Box Office</t>
  </si>
  <si>
    <t>2024-08-01</t>
  </si>
  <si>
    <t>DBS Bank Credit &amp; Debit Card - 20% off on F&amp;B      - Digital Platforms</t>
  </si>
  <si>
    <t>DBS Bank Credit &amp; Debit Card - 20% off on F&amp;B      - Refuel</t>
  </si>
  <si>
    <t>DBS Bank Credit &amp; Debit Card - Buy 1 Get 1         - Digital Platforms</t>
  </si>
  <si>
    <t>2024-09-01</t>
  </si>
  <si>
    <t>SBI Debit Card- 10% off upto Rs 100 on transaction - Digital Platforms</t>
  </si>
  <si>
    <t>SBI Debit Card- 10% off upto Rs 100 on transaction - Refuel</t>
  </si>
  <si>
    <t>Scapia Federal Credit Card - BOGO                  - Digital Platforms</t>
  </si>
  <si>
    <t>American Express – Buy 1 Get 1 Movie Ticket        - Box Office</t>
  </si>
  <si>
    <t>American Express</t>
  </si>
  <si>
    <t>2024-10-01</t>
  </si>
  <si>
    <t>American Express – Buy 1 Get 1 Movie Ticket        - Digital Platforms</t>
  </si>
  <si>
    <t>BOBCARD up to 25 % off* on Movie Ticket            - Box Office</t>
  </si>
  <si>
    <t>Federal Bank - Debit Card Buy One Get One          - Box Office</t>
  </si>
  <si>
    <t>Federal Bank - Debit Card Buy One Get One          - Digital Platforms</t>
  </si>
  <si>
    <t>J&amp;K Bank Mastercard Credit Card - 50% off Movie    - Digital Platforms</t>
  </si>
  <si>
    <t>J&amp;K Bank Mastercard DC - 50% off Movie-Srinagar    - Digital Platforms</t>
  </si>
  <si>
    <t>J&amp;K Bank Mastercard Debit Card - 50% off Movie     - Digital Platforms</t>
  </si>
  <si>
    <t xml:space="preserve">Mastercard 15% off on Transaction - Weekend       </t>
  </si>
  <si>
    <t xml:space="preserve">Mastercard 20% off on Transaction - Weekday       </t>
  </si>
  <si>
    <t>SBI Debit Card- 10% off upto Rs 100 on transaction - Box Office</t>
  </si>
  <si>
    <t>Scapia Federal Credit Card-Buy 1 Get 1 on Ticket   - Digital Platforms</t>
  </si>
  <si>
    <t>2024-11-01</t>
  </si>
  <si>
    <t>DBS Bank Debit Card - 20% off on F&amp;B               - Digital Platforms</t>
  </si>
  <si>
    <t>DBS Bank Debit Card - 20% off on F&amp;B               - Refuel</t>
  </si>
  <si>
    <t>DBS Bank Debit Card - Buy 1 Get 1                  - Box Office</t>
  </si>
  <si>
    <t>DBS Bank Debit Card - Buy 1 Get 1                  - Digital Platforms</t>
  </si>
  <si>
    <t>J&amp;K Bank Mastercard CC - 50% off Movie-Srinagar    - Digital Platforms</t>
  </si>
  <si>
    <t>J&amp;K Bank Mastercard Debit Card - 50% off Movie     - Box Office</t>
  </si>
  <si>
    <t>Kotak Bank - Cinema Day 99% off on Movie ticket    - Digital Platforms</t>
  </si>
  <si>
    <t>Kotak Bank White Reserve Card - Buy 1 Get 1 On Mov - Digital Platforms</t>
  </si>
  <si>
    <t>Amex Platinum &amp; Centurion – Buy 1 Get 1 Offer      - Box Office</t>
  </si>
  <si>
    <t>2024-12-01</t>
  </si>
  <si>
    <t>Amex Platinum &amp; Centurion – Buy 1 Get 1 Offer      - Digital Platforms</t>
  </si>
  <si>
    <t>DBS Bank Credit Card - 20% off on F&amp;B              - Digital Platforms</t>
  </si>
  <si>
    <t>DBS Bank Credit Card - 20% off on F&amp;B              - Refuel</t>
  </si>
  <si>
    <t>DBS Bank Credit Card - Buy 1 Get 1                 - Box Office</t>
  </si>
  <si>
    <t>DBS Bank Credit Card - Buy 1 Get 1                 - Digital Platforms</t>
  </si>
  <si>
    <t xml:space="preserve">J&amp;K Bank Mastercard DC - 50% off Movie-Srinagar   </t>
  </si>
  <si>
    <t>Standard Chartered Bank</t>
  </si>
  <si>
    <t>2025-01-01</t>
  </si>
  <si>
    <t>Scapia Federal Credit Card - 20% OFF ON F&amp;B        - Digital Platforms</t>
  </si>
  <si>
    <t>Scapia Federal Credit Card - 20% OFF ON F&amp;B        - Refuel</t>
  </si>
  <si>
    <t>Scapia Federal Credit Card-Buy 1 Get 1 on Ticket   - Box Office</t>
  </si>
  <si>
    <t>2025-02-01</t>
  </si>
  <si>
    <t>2025-03-01</t>
  </si>
  <si>
    <t xml:space="preserve">VISA Contactless Tap &amp; Pay &amp; Get flat 200 on F&amp;B  </t>
  </si>
  <si>
    <t>VISA Mobile Tap &amp; Pay @ BoxOffice &amp; Get Free Combo</t>
  </si>
  <si>
    <t xml:space="preserve">VISA Mobile Tap &amp; Pay 20% Off on F&amp;B              </t>
  </si>
  <si>
    <t>2025-04-01</t>
  </si>
  <si>
    <t>IDBI Bank - 15% Off on Transactions                - Box Office</t>
  </si>
  <si>
    <t>IDBI Bank - 15% Off on Transactions                - Digital Platforms</t>
  </si>
  <si>
    <t>IDBI Bank - 15% Off on Transactions                - Refuel</t>
  </si>
  <si>
    <t>2025-05-01</t>
  </si>
  <si>
    <t>SBI Credit Cards-10% Discount on Transaction       - Box Office</t>
  </si>
  <si>
    <t>SBI Credit Cards-10% Discount on Transaction       - Refuel</t>
  </si>
  <si>
    <t>20% OFF on F&amp;B with Mastercard ICICI Debit/Credit  - Refuel</t>
  </si>
  <si>
    <t>2025-06-01</t>
  </si>
  <si>
    <t>2025-07-01</t>
  </si>
  <si>
    <t>Buy 1 Get 1 on AU Bank Infinite Credit Card        - Box Office</t>
  </si>
  <si>
    <t>Buy 1 Get 1 on AU Bank Infinite Credit Card        - Digital Platforms</t>
  </si>
  <si>
    <t>Flat 20% OFF AU Bank Signature &amp; Rupay Credit Card - Box Office</t>
  </si>
  <si>
    <t>Flat 20% OFF AU Bank Signature &amp; Rupay Credit Card - Digital Platforms</t>
  </si>
  <si>
    <t>Flat 20% OFF on AU Bank Platinum&amp;Rupay Credit Card - Box Office</t>
  </si>
  <si>
    <t>Flat 20% OFF on AU Bank Platinum&amp;Rupay Credit Card - Digital Platforms</t>
  </si>
  <si>
    <t xml:space="preserve">Upto 5% Instant Discount on HDFC Bank Credit Card </t>
  </si>
  <si>
    <t>2025-08-01</t>
  </si>
  <si>
    <t>2025-09-01</t>
  </si>
  <si>
    <t>AU Credit Card - 50% OFF                           - Box Office</t>
  </si>
  <si>
    <t>AU Credit Card - 50% OFF                           - Refuel</t>
  </si>
  <si>
    <t>Kotak LUXE &amp;  INSIGNIA BOGO Offer                  - Digital Platforms</t>
  </si>
  <si>
    <t>PVR INOX Kotak Credit Card – Blockbuster Tuesday   - Digital Platforms</t>
  </si>
  <si>
    <t>2025-10-01</t>
  </si>
  <si>
    <t>HDFC Bank Millennia Credit Card F&amp;B Combo offer    - Refuel</t>
  </si>
  <si>
    <t>Kotak Cashback+ Credit Card – BOGO Festive Offer   - Digital Platforms</t>
  </si>
  <si>
    <t>Kotak Solitaire Credit Card – BOGO Festive Offer   - Digital Platforms</t>
  </si>
  <si>
    <t>2025-11-01</t>
  </si>
  <si>
    <t>50%off up to Rs250 with Axis Delight Debit Card    - Digital Platforms</t>
  </si>
  <si>
    <t>2025-12-01</t>
  </si>
  <si>
    <t xml:space="preserve">BOBCARD up to 10 % off* on F&amp;B                    </t>
  </si>
  <si>
    <t>Upto 25% off: Mastercard Credit Card Tap &amp; Go      - Refuel</t>
  </si>
  <si>
    <t>Upto 25% off:Mastercard Credit Card Tap &amp; Go       - Box Office</t>
  </si>
  <si>
    <t>Upto 25% off:Mastercard Credit Card Tap &amp; Go       - Refuel</t>
  </si>
  <si>
    <t>2026-01-01</t>
  </si>
  <si>
    <t>IDBI Bank - 25% Off on Transactions                - InCinema F&amp;B</t>
  </si>
  <si>
    <t>2026-02-01</t>
  </si>
  <si>
    <t>2026-03-01</t>
  </si>
  <si>
    <t>One Credit Card Offer 25% Off upto Rs 200          - Digital Platforms</t>
  </si>
  <si>
    <t>One Card</t>
  </si>
  <si>
    <t>PVR INOX Kotak Credit Card – Dhurandar 2 Offer     - Digital Platforms</t>
  </si>
  <si>
    <t>Buy 1 Get 1 Free on Kotak Air Credit Cards         - Digital Platforms</t>
  </si>
  <si>
    <t>Flat INR 125 Off using AU Credit Cards             - Box Office</t>
  </si>
  <si>
    <t>Flat INR 125 Off using AU Credit Cards             - Digital Platforms</t>
  </si>
  <si>
    <t>Kotak Luxe &amp; Insignia B1G1 Offer                   - Digital Platforms</t>
  </si>
  <si>
    <t>Kotak PVR INOX Credit Card 20% Off on F &amp; B       - Refuel</t>
  </si>
  <si>
    <t>SBI 100 instant discount on F&amp;B                    - Refuel</t>
  </si>
  <si>
    <t>SBI Buy One Get One on movie tickets               - Box Office</t>
  </si>
  <si>
    <t>IDBI Cine Treat Offer                              - Box Office</t>
  </si>
  <si>
    <t>IDBI Cine Treat Offer                              - Digital Platforms</t>
  </si>
  <si>
    <t>IDBI Cine Treat Offer                              - Refuel</t>
  </si>
  <si>
    <t>IDBI Movie Saver Bonanza                           - Digital Platforms</t>
  </si>
  <si>
    <t>Interval Bites with PNB:20% Off on F&amp;B             - Digital Platforms</t>
  </si>
  <si>
    <t>Interval Bites with PNB:20% Off on F&amp;B             - Refuel</t>
  </si>
  <si>
    <t>PNB Movie Magic:Buy 1 Get 1                        - Box Office</t>
  </si>
  <si>
    <t>PNB Movie Magic:Buy 1 Get 1                        - Digital Platforms</t>
  </si>
  <si>
    <t>50%off up to Rs250 with Axis Delight Debit Card                                                      - Digital Platforms</t>
  </si>
  <si>
    <t>Amex Platinum &amp; Centurion – Buy 1 Get 1 Offer                                                        - Box Office</t>
  </si>
  <si>
    <t>Amex Platinum &amp; Centurion – Buy 1 Get 1 Offer                                                        - Digital Platforms</t>
  </si>
  <si>
    <t>Axis Bank Business Supreme Debit Card- Buy 1 Get 1                                                   - Box Office</t>
  </si>
  <si>
    <t>Axis Bank Business Supreme Debit Card- Buy 1 Get 1                                                   - Digital Platforms</t>
  </si>
  <si>
    <t>Axis Bank Prestige Debit Card - Buy One Get One                                                      - Box Office</t>
  </si>
  <si>
    <t>Axis Bank Prestige Debit Card - Buy One Get One                                                      - Digital Platforms</t>
  </si>
  <si>
    <t>Buy 1 Get 1 Free on Kotak Air Credit Cards                                                           - Digital Platforms</t>
  </si>
  <si>
    <t>Buy 1 Get 1 movie ticket on Kotak Air+ Credit Card                                                   - Digital Platforms</t>
  </si>
  <si>
    <t>Federal Bank Celesta Credit Card 1+1                                                                 - Box Office</t>
  </si>
  <si>
    <t>Federal Bank Celesta Credit Card 1+1                                                                 - Digital Platforms</t>
  </si>
  <si>
    <t>Federal Bank Signet/Imperio Credit Card 1+1                                                          - Box Office</t>
  </si>
  <si>
    <t>Federal Bank Signet/Imperio Credit Card 1+1                                                          - Digital Platforms</t>
  </si>
  <si>
    <t>Flat INR 125 Off using AU Credit Cards                                                               - Box Office</t>
  </si>
  <si>
    <t>Flat INR 125 Off using AU Credit Cards                                                               - Digital Platforms</t>
  </si>
  <si>
    <t>HDFC Bank Millennia Credit Card F&amp;B Combo offer                                                      - Refuel</t>
  </si>
  <si>
    <t>ICICI Bank - Credit Card 25% off on Movie Ticket                                                     - Box Office</t>
  </si>
  <si>
    <t>ICICI Bank - Credit Card 25% off on Movie Ticket                                                     - Digital Platforms</t>
  </si>
  <si>
    <t>ICICI Bank - Debit Card 25% Off on Movie Ticket                                                      - Box Office</t>
  </si>
  <si>
    <t>ICICI Bank - Debit Card 25% Off on Movie Ticket                                                      - Digital Platforms</t>
  </si>
  <si>
    <t>IDBI Cine Treat Offer                                                                                - Box Office</t>
  </si>
  <si>
    <t>IDBI Cine Treat Offer                                                                                - Digital Platforms</t>
  </si>
  <si>
    <t>IDBI Cine Treat Offer                                                                                - Refuel</t>
  </si>
  <si>
    <t>IDBI Mega Entertainment Bonanza                                                                      - Digital Platforms</t>
  </si>
  <si>
    <t>IDBI Movie Saver Bonanza                                                                             - Digital Platforms</t>
  </si>
  <si>
    <t>Interval Bites with PNB:20% Off on F&amp;B                                                               - Digital Platforms</t>
  </si>
  <si>
    <t>Interval Bites with PNB:20% Off on F&amp;B                                                               - Refuel</t>
  </si>
  <si>
    <t>Kotak Bank White Reserve Card-Buy 1 Get 1 On Movie                                                   - Digital Platforms</t>
  </si>
  <si>
    <t>Kotak Cashback+ Credit Card – BOGO Festive Offer                                                     - Digital Platforms</t>
  </si>
  <si>
    <t>Kotak Luxe &amp; Insignia B1G1 Offer                                                                     - Digital Platforms</t>
  </si>
  <si>
    <t xml:space="preserve">Kotak PVR INOX Credit Card 20% Off on F &amp; B                                                         </t>
  </si>
  <si>
    <t xml:space="preserve">Kotak PVR INOX Credit Card 5% Off on Tickets                                                        </t>
  </si>
  <si>
    <t>Kotak Solitaire Credit Card – BOGO Festive Offer                                                     - Digital Platforms</t>
  </si>
  <si>
    <t>One Credit Card Offer 25% Off upto Rs 200                                                            - Box Office</t>
  </si>
  <si>
    <t>One Credit Card Offer 25% Off upto Rs 200                                                            - Digital Platforms</t>
  </si>
  <si>
    <t>PNB Movie Magic:Buy 1 Get 1                                                                          - Box Office</t>
  </si>
  <si>
    <t>PNB Movie Magic:Buy 1 Get 1                                                                          - Digital Platforms</t>
  </si>
  <si>
    <t>SBI 100 instant discount on F&amp;B                                                                      - Refuel</t>
  </si>
  <si>
    <t>SBI Buy One Get One on movie tickets                                                                 - Box Office</t>
  </si>
  <si>
    <t xml:space="preserve">SBI Reward                                                                                          </t>
  </si>
  <si>
    <t>Sirf card nahi Mastercard Tap &amp; go on mobile                                                         - Box Office</t>
  </si>
  <si>
    <t>Sirf card nahi Mastercard Tap &amp; go on mobile                                                         - Refuel</t>
  </si>
  <si>
    <t>Standard Chartered Bank – Buy One Get One                                                            - Box Office</t>
  </si>
  <si>
    <t>Standard Chartered Bank – Buy One Get One                                                            - Digital Platforms</t>
  </si>
  <si>
    <t xml:space="preserve">Upto 5% Instant Discount on HDFC Bank Credit Card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</si>
</sst>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[$₹-4009]\ * #,##0.00_ ;_ [$₹-4009]\ * \-#,##0.00_ ;_ [$₹-4009]\ * \-??_ ;_ @_ "/>
    <numFmt numFmtId="165" formatCode="_(\$* #,##0.00_);_(\$* \(#,##0.00\);_(\$* \-??_);_(@_)"/>
    <numFmt numFmtId="166" formatCode="_ &quot;₹ &quot;* #,##0.00_ ;_ &quot;₹ &quot;* \-#,##0.00_ ;_ &quot;₹ &quot;* \-??_ ;_ @_ "/>
    <numFmt numFmtId="167" formatCode="m/d/yyyy"/>
  </numFmts>
  <fonts count="3" x14ac:knownFonts="1">
    <font>
      <sz val="11"/>
      <color theme="1"/>
      <name val="Calibri"/>
      <family val="2"/>
      <charset val="1"/>
    </font>
    <font>
      <b/>
      <sz val="12"/>
      <color theme="1"/>
      <name val="Garamond"/>
      <family val="1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2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166" fontId="2" fillId="0" borderId="0" xfId="1" applyNumberFormat="1"/>
    <xf numFmtId="167" fontId="0" fillId="0" borderId="0" xfId="0" applyNumberFormat="1"/>
    <xf numFmtId="49" fontId="1" fillId="0" borderId="0" xfId="0" applyNumberFormat="1" applyFont="1"/>
    <xf numFmtId="0" fontId="1" fillId="0" borderId="0" xfId="1" applyNumberFormat="1" applyFont="1"/>
    <xf numFmtId="0" fontId="1" fillId="0" borderId="0" xfId="0" applyFont="1"/>
    <xf numFmtId="164" fontId="1" fillId="0" borderId="0" xfId="0" applyNumberFormat="1" applyFont="1"/>
    <xf numFmtId="166" fontId="1" fillId="0" borderId="0" xfId="1" applyNumberFormat="1" applyFont="1"/>
    <xf numFmtId="167" fontId="1" fillId="0" borderId="0" xfId="0" applyNumberFormat="1" applyFont="1"/>
    <xf numFmtId="0" fontId="2" fillId="0" borderId="0" xfId="1" applyNumberFormat="1"/>
    <xf numFmtId="166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1169" totalsRowShown="0">
  <autoFilter ref="A1:S1169" xr:uid="{00000000-0009-0000-0100-000001000000}"/>
  <tableColumns count="19">
    <tableColumn id="1" xr3:uid="{00000000-0010-0000-0000-000001000000}" name="Card Offers Performance"/>
    <tableColumn id="2" xr3:uid="{00000000-0010-0000-0000-000002000000}" name="Bank Name"/>
    <tableColumn id="3" xr3:uid="{00000000-0010-0000-0000-000003000000}" name="No. of Discounted Transactions"/>
    <tableColumn id="4" xr3:uid="{00000000-0010-0000-0000-000004000000}" name="No. of Free Tickets"/>
    <tableColumn id="5" xr3:uid="{00000000-0010-0000-0000-000005000000}" name="No. of Tickets"/>
    <tableColumn id="6" xr3:uid="{00000000-0010-0000-0000-000006000000}" name="Transaction Total (Rs.)"/>
    <tableColumn id="7" xr3:uid="{00000000-0010-0000-0000-000007000000}" name="Transaction Total Tickets (Rs.)"/>
    <tableColumn id="8" xr3:uid="{00000000-0010-0000-0000-000008000000}" name="Transaction Total F&amp;B (Rs.)"/>
    <tableColumn id="9" xr3:uid="{00000000-0010-0000-0000-000009000000}" name="Amount Paid By Customer(Rs.)"/>
    <tableColumn id="10" xr3:uid="{00000000-0010-0000-0000-00000A000000}" name="Discount Amount(Rs.)"/>
    <tableColumn id="11" xr3:uid="{00000000-0010-0000-0000-00000B000000}" name="Discount Contribution  Amount Bank (Rs.)"/>
    <tableColumn id="12" xr3:uid="{00000000-0010-0000-0000-00000C000000}" name="Discount Contribution  Amount Inox (Rs.)"/>
    <tableColumn id="13" xr3:uid="{00000000-0010-0000-0000-00000D000000}" name="Conv.Fees(Rs.)"/>
    <tableColumn id="14" xr3:uid="{00000000-0010-0000-0000-00000E000000}" name="Date"/>
    <tableColumn id="15" xr3:uid="{00000000-0010-0000-0000-00000F000000}" name="Transaction Type"/>
    <tableColumn id="16" xr3:uid="{00000000-0010-0000-0000-000010000000}" name="Universal Transactions"/>
    <tableColumn id="17" xr3:uid="{00000000-0010-0000-0000-000011000000}" name="Universal Total Revenue"/>
    <tableColumn id="18" xr3:uid="{00000000-0010-0000-0000-000012000000}" name="Universal Ticket Revenue"/>
    <tableColumn id="19" xr3:uid="{00000000-0010-0000-0000-000013000000}" name="Universal Total Admits" totalsRowFunction="su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69"/>
  <sheetViews>
    <sheetView tabSelected="1" topLeftCell="O141" zoomScale="77" zoomScaleNormal="77" workbookViewId="0">
      <selection activeCell="U150" sqref="U150"/>
    </sheetView>
  </sheetViews>
  <sheetFormatPr defaultColWidth="8.6328125" defaultRowHeight="14.5" x14ac:dyDescent="0.35"/>
  <cols>
    <col min="1" max="1" width="62" style="1" customWidth="1"/>
    <col min="2" max="2" width="22" customWidth="1"/>
    <col min="3" max="3" width="32.7265625" customWidth="1"/>
    <col min="4" max="4" width="20.90625" customWidth="1"/>
    <col min="5" max="5" width="16.26953125" customWidth="1"/>
    <col min="6" max="6" width="26" style="2" customWidth="1"/>
    <col min="7" max="7" width="33.54296875" style="2" customWidth="1"/>
    <col min="8" max="8" width="31.08984375" style="2" customWidth="1"/>
    <col min="9" max="9" width="33.453125" style="2" customWidth="1"/>
    <col min="10" max="10" width="25.1796875" style="2" customWidth="1"/>
    <col min="11" max="11" width="44.26953125" style="3" customWidth="1"/>
    <col min="12" max="12" width="43.7265625" style="3" customWidth="1"/>
    <col min="13" max="13" width="18.1796875" style="3" customWidth="1"/>
    <col min="14" max="14" width="13.6328125" style="4" customWidth="1"/>
    <col min="15" max="15" width="22.54296875" customWidth="1"/>
    <col min="16" max="16" width="25.90625" customWidth="1"/>
    <col min="17" max="17" width="29.26953125" customWidth="1"/>
    <col min="18" max="18" width="29.1796875" customWidth="1"/>
    <col min="19" max="20" width="26.54296875" customWidth="1"/>
    <col min="22" max="22" width="34.1796875" customWidth="1"/>
  </cols>
  <sheetData>
    <row r="1" spans="1:22" ht="15" customHeight="1" x14ac:dyDescent="0.35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9" t="s">
        <v>10</v>
      </c>
      <c r="L1" s="9" t="s">
        <v>11</v>
      </c>
      <c r="M1" s="9" t="s">
        <v>12</v>
      </c>
      <c r="N1" s="10" t="s">
        <v>13</v>
      </c>
      <c r="O1" s="9" t="s">
        <v>14</v>
      </c>
      <c r="P1" s="6" t="s">
        <v>15</v>
      </c>
      <c r="Q1" s="9" t="s">
        <v>16</v>
      </c>
      <c r="R1" s="9" t="s">
        <v>17</v>
      </c>
      <c r="S1" s="6" t="s">
        <v>18</v>
      </c>
    </row>
    <row r="2" spans="1:22" x14ac:dyDescent="0.35">
      <c r="A2" s="1" t="s">
        <v>19</v>
      </c>
      <c r="B2" s="1" t="str">
        <f t="shared" ref="B2:B33" si="0">IF(ISNUMBER(SEARCH("AXIS",A2)),"Axis Bank",
IF(ISNUMBER(SEARCH("HDFC",A2)),"HDFC Bank",
IF(ISNUMBER(SEARCH("ICICI",A2)),"ICICI Bank",
IF(ISNUMBER(SEARCH("AU",A2)),"AU Bank",
IF(ISNUMBER(SEARCH("KOTAK",A2)),"Kotak Mahindra Bank",
IF(ISNUMBER(SEARCH("SBI",A2)),"State Bank of India",
IF(ISNUMBER(SEARCH("HSBC",A2)),"HSBC",
IF(ISNUMBER(SEARCH("DBS",A2)),"DBS Bank",
IF(ISNUMBER(SEARCH("SCAPIA",A2)),"Scapia",
IF(ISNUMBER(SEARCH("STANDARD CHARTERED",A2)),"Standard Chartered Bank",
IF(ISNUMBER(SEARCH("IDBI",A2)),"IDBI Bank",
IF(ISNUMBER(SEARCH("J&amp;K",A2)),"J&amp;K Bank",
IF(ISNUMBER(SEARCH("JAMMU",A2)),"J&amp;K Bank",
IF(ISNUMBER(SEARCH("FEDERAL",A2)),"Federal Bank",
IF(ISNUMBER(SEARCH("BOBCARD",A2)),"BOB Card",
IF(ISNUMBER(SEARCH("BANK OF BARODA",A2)),"BOB Card",
IF(ISNUMBER(SEARCH("AMEX",A2)),"American Express",
IF(ISNUMBER(SEARCH("PLATINUM",A2)),"American Express",
IF(ISNUMBER(SEARCH("CENTURION",A2)),"American Express",
IF(ISNUMBER(SEARCH("VISA",A2)),"Visa",
IF(ISNUMBER(SEARCH("MASTERCARD",A2)),"Mastercard",
"")))))))))))))))))))))</f>
        <v>AU Bank</v>
      </c>
      <c r="C2">
        <v>30</v>
      </c>
      <c r="D2">
        <v>0</v>
      </c>
      <c r="E2">
        <v>99</v>
      </c>
      <c r="F2" s="2">
        <v>32714.62</v>
      </c>
      <c r="G2" s="2">
        <v>27320</v>
      </c>
      <c r="H2" s="2">
        <v>1360</v>
      </c>
      <c r="I2" s="2">
        <v>29584.62</v>
      </c>
      <c r="J2" s="2">
        <v>3000</v>
      </c>
      <c r="K2" s="3">
        <v>3000</v>
      </c>
      <c r="L2" s="3">
        <v>0</v>
      </c>
      <c r="M2" s="3">
        <v>3904.62</v>
      </c>
      <c r="N2" s="4" t="s">
        <v>20</v>
      </c>
      <c r="O2" s="3" t="str">
        <f t="shared" ref="O2:O65" si="1">IF(ISNUMBER(SEARCH("Box Office",A2)),"Offline - Box Office",
IF(ISNUMBER(SEARCH("Digital Platforms",A2)),"Online",
IF(ISNUMBER(SEARCH("Refuel",A2)),"Offline - F&amp;B",
IF(ISNUMBER(SEARCH("Food &amp; Beverages",A2)),"Offline - F&amp;B",
IF(ISNUMBER(SEARCH("F&amp;B",A2)),"Offline - F&amp;B",
IF(ISNUMBER(SEARCH("Kiosk",A2)),"Offline - Box Office",
IF(ISNUMBER(SEARCH("Cinema",A2)),"Offline - Box Office",
"Other")))))))</f>
        <v>Online</v>
      </c>
      <c r="P2" s="11">
        <v>6292000</v>
      </c>
      <c r="Q2" s="3">
        <v>3430300000</v>
      </c>
      <c r="R2" s="3">
        <v>2179700000</v>
      </c>
      <c r="S2" s="11">
        <v>9219000</v>
      </c>
    </row>
    <row r="3" spans="1:22" x14ac:dyDescent="0.35">
      <c r="A3" s="1" t="s">
        <v>21</v>
      </c>
      <c r="B3" s="1" t="str">
        <f t="shared" si="0"/>
        <v>AU Bank</v>
      </c>
      <c r="C3">
        <v>8</v>
      </c>
      <c r="D3">
        <v>0</v>
      </c>
      <c r="E3">
        <v>10</v>
      </c>
      <c r="F3" s="2">
        <v>5654.86</v>
      </c>
      <c r="G3" s="2">
        <v>3350</v>
      </c>
      <c r="H3" s="2">
        <v>2090</v>
      </c>
      <c r="I3" s="2">
        <v>4848.8599999999997</v>
      </c>
      <c r="J3" s="2">
        <v>800</v>
      </c>
      <c r="K3" s="3">
        <v>560</v>
      </c>
      <c r="L3" s="3">
        <v>240</v>
      </c>
      <c r="M3" s="3">
        <v>208.86</v>
      </c>
      <c r="N3" s="4" t="s">
        <v>20</v>
      </c>
      <c r="O3" s="3" t="str">
        <f t="shared" si="1"/>
        <v>Online</v>
      </c>
      <c r="P3" s="11">
        <v>6292000</v>
      </c>
      <c r="Q3" s="3">
        <v>3430300000</v>
      </c>
      <c r="R3" s="3">
        <v>2179700000</v>
      </c>
      <c r="S3" s="11">
        <v>9219000</v>
      </c>
      <c r="V3" s="12"/>
    </row>
    <row r="4" spans="1:22" x14ac:dyDescent="0.35">
      <c r="A4" s="1" t="s">
        <v>22</v>
      </c>
      <c r="B4" s="1" t="str">
        <f t="shared" si="0"/>
        <v>AU Bank</v>
      </c>
      <c r="C4">
        <v>163</v>
      </c>
      <c r="D4">
        <v>0</v>
      </c>
      <c r="E4">
        <v>353</v>
      </c>
      <c r="F4" s="2">
        <v>111332</v>
      </c>
      <c r="G4" s="2">
        <v>0</v>
      </c>
      <c r="H4" s="2">
        <v>111332</v>
      </c>
      <c r="I4" s="2">
        <v>95032</v>
      </c>
      <c r="J4" s="2">
        <v>16300</v>
      </c>
      <c r="K4" s="3">
        <v>11410</v>
      </c>
      <c r="L4" s="3">
        <v>4890</v>
      </c>
      <c r="M4" s="3">
        <v>0</v>
      </c>
      <c r="N4" s="4" t="s">
        <v>20</v>
      </c>
      <c r="O4" s="3" t="str">
        <f t="shared" si="1"/>
        <v>Offline - F&amp;B</v>
      </c>
      <c r="P4" s="11">
        <v>6292000</v>
      </c>
      <c r="Q4" s="3">
        <v>3430300000</v>
      </c>
      <c r="R4" s="3">
        <v>2179700000</v>
      </c>
      <c r="S4" s="11">
        <v>9219000</v>
      </c>
    </row>
    <row r="5" spans="1:22" x14ac:dyDescent="0.35">
      <c r="A5" s="1" t="s">
        <v>23</v>
      </c>
      <c r="B5" s="1" t="str">
        <f t="shared" si="0"/>
        <v>Axis Bank</v>
      </c>
      <c r="C5">
        <v>15</v>
      </c>
      <c r="D5">
        <v>15</v>
      </c>
      <c r="E5">
        <v>40</v>
      </c>
      <c r="F5" s="2">
        <v>12464.72</v>
      </c>
      <c r="G5" s="2">
        <v>10937</v>
      </c>
      <c r="H5" s="2">
        <v>0</v>
      </c>
      <c r="I5" s="2">
        <v>9558.7199999999993</v>
      </c>
      <c r="J5" s="2">
        <v>2858</v>
      </c>
      <c r="K5" s="3">
        <v>2429.3000000000002</v>
      </c>
      <c r="L5" s="3">
        <v>428.7</v>
      </c>
      <c r="M5" s="3">
        <v>1479.72</v>
      </c>
      <c r="N5" s="4" t="s">
        <v>20</v>
      </c>
      <c r="O5" s="3" t="str">
        <f t="shared" si="1"/>
        <v>Online</v>
      </c>
      <c r="P5" s="11">
        <v>6292000</v>
      </c>
      <c r="Q5" s="3">
        <v>3430300000</v>
      </c>
      <c r="R5" s="3">
        <v>2179700000</v>
      </c>
      <c r="S5" s="11">
        <v>9219000</v>
      </c>
    </row>
    <row r="6" spans="1:22" x14ac:dyDescent="0.35">
      <c r="A6" s="1" t="s">
        <v>24</v>
      </c>
      <c r="B6" s="1" t="str">
        <f t="shared" si="0"/>
        <v>Axis Bank</v>
      </c>
      <c r="C6">
        <v>438</v>
      </c>
      <c r="D6">
        <v>438</v>
      </c>
      <c r="E6">
        <v>1026</v>
      </c>
      <c r="F6" s="2">
        <v>250826.14</v>
      </c>
      <c r="G6" s="2">
        <v>214184.84</v>
      </c>
      <c r="H6" s="2">
        <v>4030</v>
      </c>
      <c r="I6" s="2">
        <v>170918.82</v>
      </c>
      <c r="J6" s="2">
        <v>79037.320000000007</v>
      </c>
      <c r="K6" s="3">
        <v>67181.69</v>
      </c>
      <c r="L6" s="3">
        <v>11855.65</v>
      </c>
      <c r="M6" s="3">
        <v>31741.3</v>
      </c>
      <c r="N6" s="4" t="s">
        <v>20</v>
      </c>
      <c r="O6" s="3" t="str">
        <f t="shared" si="1"/>
        <v>Online</v>
      </c>
      <c r="P6" s="11">
        <v>6292000</v>
      </c>
      <c r="Q6" s="3">
        <v>3430300000</v>
      </c>
      <c r="R6" s="3">
        <v>2179700000</v>
      </c>
      <c r="S6" s="11">
        <v>9219000</v>
      </c>
    </row>
    <row r="7" spans="1:22" x14ac:dyDescent="0.35">
      <c r="A7" s="1" t="s">
        <v>25</v>
      </c>
      <c r="B7" s="1" t="str">
        <f t="shared" si="0"/>
        <v>Federal Bank</v>
      </c>
      <c r="C7">
        <v>558</v>
      </c>
      <c r="D7">
        <v>558</v>
      </c>
      <c r="E7">
        <v>1676</v>
      </c>
      <c r="F7" s="2">
        <v>338954.09</v>
      </c>
      <c r="G7" s="2">
        <v>321690.09000000003</v>
      </c>
      <c r="H7" s="2">
        <v>17264</v>
      </c>
      <c r="I7" s="2">
        <v>283587.49</v>
      </c>
      <c r="J7" s="2">
        <v>55366.6</v>
      </c>
      <c r="K7" s="3">
        <v>55366.6</v>
      </c>
      <c r="L7" s="3">
        <v>0</v>
      </c>
      <c r="M7" s="3">
        <v>0</v>
      </c>
      <c r="N7" s="4" t="s">
        <v>20</v>
      </c>
      <c r="O7" s="3" t="str">
        <f t="shared" si="1"/>
        <v>Offline - Box Office</v>
      </c>
      <c r="P7" s="11">
        <v>6292000</v>
      </c>
      <c r="Q7" s="3">
        <v>3430300000</v>
      </c>
      <c r="R7" s="3">
        <v>2179700000</v>
      </c>
      <c r="S7" s="11">
        <v>9219000</v>
      </c>
    </row>
    <row r="8" spans="1:22" x14ac:dyDescent="0.35">
      <c r="A8" s="1" t="s">
        <v>26</v>
      </c>
      <c r="B8" s="1" t="str">
        <f t="shared" si="0"/>
        <v>Federal Bank</v>
      </c>
      <c r="C8">
        <v>237</v>
      </c>
      <c r="D8">
        <v>237</v>
      </c>
      <c r="E8">
        <v>594</v>
      </c>
      <c r="F8" s="2">
        <v>129401.68</v>
      </c>
      <c r="G8" s="2">
        <v>109806.24</v>
      </c>
      <c r="H8" s="2">
        <v>1880</v>
      </c>
      <c r="I8" s="2">
        <v>105662.25</v>
      </c>
      <c r="J8" s="2">
        <v>23261.43</v>
      </c>
      <c r="K8" s="3">
        <v>23261.43</v>
      </c>
      <c r="L8" s="3">
        <v>0</v>
      </c>
      <c r="M8" s="3">
        <v>17237.439999999999</v>
      </c>
      <c r="N8" s="4" t="s">
        <v>20</v>
      </c>
      <c r="O8" s="3" t="str">
        <f t="shared" si="1"/>
        <v>Online</v>
      </c>
      <c r="P8" s="11">
        <v>6292000</v>
      </c>
      <c r="Q8" s="3">
        <v>3430300000</v>
      </c>
      <c r="R8" s="3">
        <v>2179700000</v>
      </c>
      <c r="S8" s="11">
        <v>9219000</v>
      </c>
    </row>
    <row r="9" spans="1:22" x14ac:dyDescent="0.35">
      <c r="A9" s="1" t="s">
        <v>27</v>
      </c>
      <c r="B9" s="1" t="str">
        <f t="shared" si="0"/>
        <v>Federal Bank</v>
      </c>
      <c r="C9">
        <v>36</v>
      </c>
      <c r="D9">
        <v>36</v>
      </c>
      <c r="E9">
        <v>95</v>
      </c>
      <c r="F9" s="2">
        <v>20402.900000000001</v>
      </c>
      <c r="G9" s="2">
        <v>19642.900000000001</v>
      </c>
      <c r="H9" s="2">
        <v>760</v>
      </c>
      <c r="I9" s="2">
        <v>16802.900000000001</v>
      </c>
      <c r="J9" s="2">
        <v>3600</v>
      </c>
      <c r="K9" s="3">
        <v>3600</v>
      </c>
      <c r="L9" s="3">
        <v>0</v>
      </c>
      <c r="M9" s="3">
        <v>0</v>
      </c>
      <c r="N9" s="4" t="s">
        <v>20</v>
      </c>
      <c r="O9" s="3" t="str">
        <f t="shared" si="1"/>
        <v>Offline - Box Office</v>
      </c>
      <c r="P9" s="11">
        <v>6292000</v>
      </c>
      <c r="Q9" s="3">
        <v>3430300000</v>
      </c>
      <c r="R9" s="3">
        <v>2179700000</v>
      </c>
      <c r="S9" s="11">
        <v>9219000</v>
      </c>
    </row>
    <row r="10" spans="1:22" x14ac:dyDescent="0.35">
      <c r="A10" s="1" t="s">
        <v>28</v>
      </c>
      <c r="B10" s="1" t="str">
        <f t="shared" si="0"/>
        <v>Federal Bank</v>
      </c>
      <c r="C10">
        <v>12</v>
      </c>
      <c r="D10">
        <v>12</v>
      </c>
      <c r="E10">
        <v>39</v>
      </c>
      <c r="F10" s="2">
        <v>11677.32</v>
      </c>
      <c r="G10" s="2">
        <v>9594.4599999999991</v>
      </c>
      <c r="H10" s="2">
        <v>770</v>
      </c>
      <c r="I10" s="2">
        <v>10472.59</v>
      </c>
      <c r="J10" s="2">
        <v>1162.73</v>
      </c>
      <c r="K10" s="3">
        <v>1162.73</v>
      </c>
      <c r="L10" s="3">
        <v>0</v>
      </c>
      <c r="M10" s="3">
        <v>1270.8599999999999</v>
      </c>
      <c r="N10" s="4" t="s">
        <v>20</v>
      </c>
      <c r="O10" s="3" t="str">
        <f t="shared" si="1"/>
        <v>Online</v>
      </c>
      <c r="P10" s="11">
        <v>6292000</v>
      </c>
      <c r="Q10" s="3">
        <v>3430300000</v>
      </c>
      <c r="R10" s="3">
        <v>2179700000</v>
      </c>
      <c r="S10" s="11">
        <v>9219000</v>
      </c>
    </row>
    <row r="11" spans="1:22" x14ac:dyDescent="0.35">
      <c r="A11" s="1" t="s">
        <v>29</v>
      </c>
      <c r="B11" s="1" t="str">
        <f t="shared" si="0"/>
        <v>Federal Bank</v>
      </c>
      <c r="C11">
        <v>101</v>
      </c>
      <c r="D11">
        <v>101</v>
      </c>
      <c r="E11">
        <v>302</v>
      </c>
      <c r="F11" s="2">
        <v>62000.12</v>
      </c>
      <c r="G11" s="2">
        <v>60003.12</v>
      </c>
      <c r="H11" s="2">
        <v>1997</v>
      </c>
      <c r="I11" s="2">
        <v>51901.120000000003</v>
      </c>
      <c r="J11" s="2">
        <v>10099</v>
      </c>
      <c r="K11" s="3">
        <v>10099</v>
      </c>
      <c r="L11" s="3">
        <v>0</v>
      </c>
      <c r="M11" s="3">
        <v>0</v>
      </c>
      <c r="N11" s="4" t="s">
        <v>20</v>
      </c>
      <c r="O11" s="3" t="str">
        <f t="shared" si="1"/>
        <v>Offline - Box Office</v>
      </c>
      <c r="P11" s="11">
        <v>6292000</v>
      </c>
      <c r="Q11" s="3">
        <v>3430300000</v>
      </c>
      <c r="R11" s="3">
        <v>2179700000</v>
      </c>
      <c r="S11" s="11">
        <v>9219000</v>
      </c>
    </row>
    <row r="12" spans="1:22" x14ac:dyDescent="0.35">
      <c r="A12" s="1" t="s">
        <v>30</v>
      </c>
      <c r="B12" s="1" t="str">
        <f t="shared" si="0"/>
        <v>Federal Bank</v>
      </c>
      <c r="C12">
        <v>37</v>
      </c>
      <c r="D12">
        <v>37</v>
      </c>
      <c r="E12">
        <v>105</v>
      </c>
      <c r="F12" s="2">
        <v>24047.360000000001</v>
      </c>
      <c r="G12" s="2">
        <v>20207.36</v>
      </c>
      <c r="H12" s="2">
        <v>810</v>
      </c>
      <c r="I12" s="2">
        <v>20307.75</v>
      </c>
      <c r="J12" s="2">
        <v>3659.61</v>
      </c>
      <c r="K12" s="3">
        <v>3659.61</v>
      </c>
      <c r="L12" s="3">
        <v>0</v>
      </c>
      <c r="M12" s="3">
        <v>2950</v>
      </c>
      <c r="N12" s="4" t="s">
        <v>20</v>
      </c>
      <c r="O12" s="3" t="str">
        <f t="shared" si="1"/>
        <v>Online</v>
      </c>
      <c r="P12" s="11">
        <v>6292000</v>
      </c>
      <c r="Q12" s="3">
        <v>3430300000</v>
      </c>
      <c r="R12" s="3">
        <v>2179700000</v>
      </c>
      <c r="S12" s="11">
        <v>9219000</v>
      </c>
    </row>
    <row r="13" spans="1:22" x14ac:dyDescent="0.35">
      <c r="A13" s="1" t="s">
        <v>31</v>
      </c>
      <c r="B13" s="1" t="str">
        <f t="shared" si="0"/>
        <v>HSBC</v>
      </c>
      <c r="C13">
        <v>12</v>
      </c>
      <c r="D13">
        <v>0</v>
      </c>
      <c r="E13">
        <v>29</v>
      </c>
      <c r="F13" s="2">
        <v>21713.82</v>
      </c>
      <c r="G13" s="2">
        <v>19260</v>
      </c>
      <c r="H13" s="2">
        <v>0</v>
      </c>
      <c r="I13" s="2">
        <v>19751.82</v>
      </c>
      <c r="J13" s="2">
        <v>1926</v>
      </c>
      <c r="K13" s="3">
        <v>963</v>
      </c>
      <c r="L13" s="3">
        <v>963</v>
      </c>
      <c r="M13" s="3">
        <v>2417.8200000000002</v>
      </c>
      <c r="N13" s="4" t="s">
        <v>20</v>
      </c>
      <c r="O13" s="3" t="str">
        <f t="shared" si="1"/>
        <v>Online</v>
      </c>
      <c r="P13" s="11">
        <v>6292000</v>
      </c>
      <c r="Q13" s="3">
        <v>3430300000</v>
      </c>
      <c r="R13" s="3">
        <v>2179700000</v>
      </c>
      <c r="S13" s="11">
        <v>9219000</v>
      </c>
    </row>
    <row r="14" spans="1:22" x14ac:dyDescent="0.35">
      <c r="A14" s="1" t="s">
        <v>32</v>
      </c>
      <c r="B14" s="1" t="str">
        <f t="shared" si="0"/>
        <v>ICICI Bank</v>
      </c>
      <c r="C14">
        <v>4646</v>
      </c>
      <c r="D14">
        <v>0</v>
      </c>
      <c r="E14">
        <v>13041</v>
      </c>
      <c r="F14" s="2">
        <v>3106852.09</v>
      </c>
      <c r="G14" s="2">
        <v>3007404.11</v>
      </c>
      <c r="H14" s="2">
        <v>99509</v>
      </c>
      <c r="I14" s="2">
        <v>2643453.09</v>
      </c>
      <c r="J14" s="2">
        <v>463399</v>
      </c>
      <c r="K14" s="3">
        <v>407791.12</v>
      </c>
      <c r="L14" s="3">
        <v>55607.88</v>
      </c>
      <c r="M14" s="3">
        <v>0</v>
      </c>
      <c r="N14" s="4" t="s">
        <v>20</v>
      </c>
      <c r="O14" s="3" t="str">
        <f t="shared" si="1"/>
        <v>Offline - Box Office</v>
      </c>
      <c r="P14" s="11">
        <v>6292000</v>
      </c>
      <c r="Q14" s="3">
        <v>3430300000</v>
      </c>
      <c r="R14" s="3">
        <v>2179700000</v>
      </c>
      <c r="S14" s="11">
        <v>9219000</v>
      </c>
    </row>
    <row r="15" spans="1:22" x14ac:dyDescent="0.35">
      <c r="A15" s="1" t="s">
        <v>33</v>
      </c>
      <c r="B15" s="1" t="str">
        <f t="shared" si="0"/>
        <v>ICICI Bank</v>
      </c>
      <c r="C15">
        <v>826</v>
      </c>
      <c r="D15">
        <v>0</v>
      </c>
      <c r="E15">
        <v>2273</v>
      </c>
      <c r="F15" s="2">
        <v>609783</v>
      </c>
      <c r="G15" s="2">
        <v>514792.28</v>
      </c>
      <c r="H15" s="2">
        <v>19600</v>
      </c>
      <c r="I15" s="2">
        <v>525852</v>
      </c>
      <c r="J15" s="2">
        <v>81827</v>
      </c>
      <c r="K15" s="3">
        <v>69552.95</v>
      </c>
      <c r="L15" s="3">
        <v>12274.05</v>
      </c>
      <c r="M15" s="3">
        <v>73286.720000000001</v>
      </c>
      <c r="N15" s="4" t="s">
        <v>20</v>
      </c>
      <c r="O15" s="3" t="str">
        <f t="shared" si="1"/>
        <v>Online</v>
      </c>
      <c r="P15" s="11">
        <v>6292000</v>
      </c>
      <c r="Q15" s="3">
        <v>3430300000</v>
      </c>
      <c r="R15" s="3">
        <v>2179700000</v>
      </c>
      <c r="S15" s="11">
        <v>9219000</v>
      </c>
    </row>
    <row r="16" spans="1:22" x14ac:dyDescent="0.35">
      <c r="A16" s="1" t="s">
        <v>34</v>
      </c>
      <c r="B16" s="1" t="str">
        <f t="shared" si="0"/>
        <v>ICICI Bank</v>
      </c>
      <c r="C16">
        <v>1</v>
      </c>
      <c r="D16">
        <v>0</v>
      </c>
      <c r="E16">
        <v>2</v>
      </c>
      <c r="F16" s="2">
        <v>300</v>
      </c>
      <c r="G16" s="2">
        <v>300</v>
      </c>
      <c r="H16" s="2">
        <v>0</v>
      </c>
      <c r="I16" s="2">
        <v>225</v>
      </c>
      <c r="J16" s="2">
        <v>75</v>
      </c>
      <c r="K16" s="3">
        <v>66</v>
      </c>
      <c r="L16" s="3">
        <v>9</v>
      </c>
      <c r="M16" s="3">
        <v>0</v>
      </c>
      <c r="N16" s="4" t="s">
        <v>20</v>
      </c>
      <c r="O16" s="3" t="str">
        <f t="shared" si="1"/>
        <v>Offline - Box Office</v>
      </c>
      <c r="P16" s="11">
        <v>6292000</v>
      </c>
      <c r="Q16" s="3">
        <v>3430300000</v>
      </c>
      <c r="R16" s="3">
        <v>2179700000</v>
      </c>
      <c r="S16" s="11">
        <v>9219000</v>
      </c>
    </row>
    <row r="17" spans="1:19" x14ac:dyDescent="0.35">
      <c r="A17" s="1" t="s">
        <v>35</v>
      </c>
      <c r="B17" s="1" t="str">
        <f t="shared" si="0"/>
        <v>ICICI Bank</v>
      </c>
      <c r="C17">
        <v>145</v>
      </c>
      <c r="D17">
        <v>0</v>
      </c>
      <c r="E17">
        <v>421</v>
      </c>
      <c r="F17" s="2">
        <v>127475.14</v>
      </c>
      <c r="G17" s="2">
        <v>102522.5</v>
      </c>
      <c r="H17" s="2">
        <v>10260</v>
      </c>
      <c r="I17" s="2">
        <v>118928.14</v>
      </c>
      <c r="J17" s="2">
        <v>8189</v>
      </c>
      <c r="K17" s="3">
        <v>6960.65</v>
      </c>
      <c r="L17" s="3">
        <v>1228.3499999999999</v>
      </c>
      <c r="M17" s="3">
        <v>14334.64</v>
      </c>
      <c r="N17" s="4" t="s">
        <v>20</v>
      </c>
      <c r="O17" s="3" t="str">
        <f t="shared" si="1"/>
        <v>Online</v>
      </c>
      <c r="P17" s="11">
        <v>6292000</v>
      </c>
      <c r="Q17" s="3">
        <v>3430300000</v>
      </c>
      <c r="R17" s="3">
        <v>2179700000</v>
      </c>
      <c r="S17" s="11">
        <v>9219000</v>
      </c>
    </row>
    <row r="18" spans="1:19" x14ac:dyDescent="0.35">
      <c r="A18" s="1" t="s">
        <v>36</v>
      </c>
      <c r="B18" s="1" t="str">
        <f t="shared" si="0"/>
        <v>IDBI Bank</v>
      </c>
      <c r="C18">
        <v>21</v>
      </c>
      <c r="D18">
        <v>0</v>
      </c>
      <c r="E18">
        <v>45</v>
      </c>
      <c r="F18" s="2">
        <v>10787.75</v>
      </c>
      <c r="G18" s="2">
        <v>9383.77</v>
      </c>
      <c r="H18" s="2">
        <v>100</v>
      </c>
      <c r="I18" s="2">
        <v>9575.75</v>
      </c>
      <c r="J18" s="2">
        <v>1160</v>
      </c>
      <c r="K18" s="3">
        <v>1160</v>
      </c>
      <c r="L18" s="3">
        <v>0</v>
      </c>
      <c r="M18" s="3">
        <v>1251.98</v>
      </c>
      <c r="N18" s="4" t="s">
        <v>20</v>
      </c>
      <c r="O18" s="3" t="str">
        <f t="shared" si="1"/>
        <v>Online</v>
      </c>
      <c r="P18" s="11">
        <v>6292000</v>
      </c>
      <c r="Q18" s="3">
        <v>3430300000</v>
      </c>
      <c r="R18" s="3">
        <v>2179700000</v>
      </c>
      <c r="S18" s="11">
        <v>9219000</v>
      </c>
    </row>
    <row r="19" spans="1:19" x14ac:dyDescent="0.35">
      <c r="A19" s="1" t="s">
        <v>37</v>
      </c>
      <c r="B19" s="1" t="str">
        <f t="shared" si="0"/>
        <v>IDBI Bank</v>
      </c>
      <c r="C19">
        <v>25</v>
      </c>
      <c r="D19">
        <v>0</v>
      </c>
      <c r="E19">
        <v>61</v>
      </c>
      <c r="F19" s="2">
        <v>15143.92</v>
      </c>
      <c r="G19" s="2">
        <v>12630.02</v>
      </c>
      <c r="H19" s="2">
        <v>700</v>
      </c>
      <c r="I19" s="2">
        <v>12370.92</v>
      </c>
      <c r="J19" s="2">
        <v>2735</v>
      </c>
      <c r="K19" s="3">
        <v>2735</v>
      </c>
      <c r="L19" s="3">
        <v>0</v>
      </c>
      <c r="M19" s="3">
        <v>1775.9</v>
      </c>
      <c r="N19" s="4" t="s">
        <v>20</v>
      </c>
      <c r="O19" s="3" t="str">
        <f t="shared" si="1"/>
        <v>Online</v>
      </c>
      <c r="P19" s="11">
        <v>6292000</v>
      </c>
      <c r="Q19" s="3">
        <v>3430300000</v>
      </c>
      <c r="R19" s="3">
        <v>2179700000</v>
      </c>
      <c r="S19" s="11">
        <v>9219000</v>
      </c>
    </row>
    <row r="20" spans="1:19" x14ac:dyDescent="0.35">
      <c r="A20" s="1" t="s">
        <v>38</v>
      </c>
      <c r="B20" s="1" t="str">
        <f t="shared" si="0"/>
        <v>Kotak Mahindra Bank</v>
      </c>
      <c r="C20">
        <v>2549</v>
      </c>
      <c r="D20">
        <v>0</v>
      </c>
      <c r="E20">
        <v>5395</v>
      </c>
      <c r="F20" s="2">
        <v>1451360.96</v>
      </c>
      <c r="G20" s="2">
        <v>129572.83</v>
      </c>
      <c r="H20" s="2">
        <v>1317616.3700000001</v>
      </c>
      <c r="I20" s="2">
        <v>1167194.96</v>
      </c>
      <c r="J20" s="2">
        <v>284044</v>
      </c>
      <c r="K20" s="3">
        <v>0</v>
      </c>
      <c r="L20" s="3">
        <v>284044</v>
      </c>
      <c r="M20" s="3">
        <v>4049.76</v>
      </c>
      <c r="N20" s="4" t="s">
        <v>20</v>
      </c>
      <c r="O20" s="3" t="str">
        <f t="shared" si="1"/>
        <v>Other</v>
      </c>
      <c r="P20" s="11">
        <v>6292000</v>
      </c>
      <c r="Q20" s="3">
        <v>3430300000</v>
      </c>
      <c r="R20" s="3">
        <v>2179700000</v>
      </c>
      <c r="S20" s="11">
        <v>9219000</v>
      </c>
    </row>
    <row r="21" spans="1:19" x14ac:dyDescent="0.35">
      <c r="A21" s="1" t="s">
        <v>39</v>
      </c>
      <c r="B21" s="1" t="str">
        <f t="shared" si="0"/>
        <v>Kotak Mahindra Bank</v>
      </c>
      <c r="C21">
        <v>1751</v>
      </c>
      <c r="D21">
        <v>0</v>
      </c>
      <c r="E21">
        <v>4385</v>
      </c>
      <c r="F21" s="2">
        <v>1218912.3999999999</v>
      </c>
      <c r="G21" s="2">
        <v>1101179.8600000001</v>
      </c>
      <c r="H21" s="2">
        <v>11003</v>
      </c>
      <c r="I21" s="2">
        <v>1161956.3999999999</v>
      </c>
      <c r="J21" s="2">
        <v>55094</v>
      </c>
      <c r="K21" s="3">
        <v>0</v>
      </c>
      <c r="L21" s="3">
        <v>55094</v>
      </c>
      <c r="M21" s="3">
        <v>104867.54</v>
      </c>
      <c r="N21" s="4" t="s">
        <v>20</v>
      </c>
      <c r="O21" s="3" t="str">
        <f t="shared" si="1"/>
        <v>Other</v>
      </c>
      <c r="P21" s="11">
        <v>6292000</v>
      </c>
      <c r="Q21" s="3">
        <v>3430300000</v>
      </c>
      <c r="R21" s="3">
        <v>2179700000</v>
      </c>
      <c r="S21" s="11">
        <v>9219000</v>
      </c>
    </row>
    <row r="22" spans="1:19" x14ac:dyDescent="0.35">
      <c r="A22" s="1" t="s">
        <v>40</v>
      </c>
      <c r="B22" s="1" t="str">
        <f t="shared" si="0"/>
        <v>Standard Chartered Bank</v>
      </c>
      <c r="C22">
        <v>31</v>
      </c>
      <c r="D22">
        <v>31</v>
      </c>
      <c r="E22">
        <v>76</v>
      </c>
      <c r="F22" s="2">
        <v>19974.86</v>
      </c>
      <c r="G22" s="2">
        <v>19134.86</v>
      </c>
      <c r="H22" s="2">
        <v>840</v>
      </c>
      <c r="I22" s="2">
        <v>14082.08</v>
      </c>
      <c r="J22" s="2">
        <v>5892.78</v>
      </c>
      <c r="K22" s="3">
        <v>5892.78</v>
      </c>
      <c r="L22" s="3">
        <v>0</v>
      </c>
      <c r="M22" s="3">
        <v>0</v>
      </c>
      <c r="N22" s="4" t="s">
        <v>20</v>
      </c>
      <c r="O22" s="3" t="str">
        <f t="shared" si="1"/>
        <v>Offline - Box Office</v>
      </c>
      <c r="P22" s="11">
        <v>6292000</v>
      </c>
      <c r="Q22" s="3">
        <v>3430300000</v>
      </c>
      <c r="R22" s="3">
        <v>2179700000</v>
      </c>
      <c r="S22" s="11">
        <v>9219000</v>
      </c>
    </row>
    <row r="23" spans="1:19" x14ac:dyDescent="0.35">
      <c r="A23" s="1" t="s">
        <v>41</v>
      </c>
      <c r="B23" s="1" t="str">
        <f t="shared" si="0"/>
        <v>Standard Chartered Bank</v>
      </c>
      <c r="C23">
        <v>89</v>
      </c>
      <c r="D23">
        <v>89</v>
      </c>
      <c r="E23">
        <v>203</v>
      </c>
      <c r="F23" s="2">
        <v>59099.519999999997</v>
      </c>
      <c r="G23" s="2">
        <v>50883.94</v>
      </c>
      <c r="H23" s="2">
        <v>1020</v>
      </c>
      <c r="I23" s="2">
        <v>41905.01</v>
      </c>
      <c r="J23" s="2">
        <v>17054.509999999998</v>
      </c>
      <c r="K23" s="3">
        <v>17054.509999999998</v>
      </c>
      <c r="L23" s="3">
        <v>0</v>
      </c>
      <c r="M23" s="3">
        <v>7055.58</v>
      </c>
      <c r="N23" s="4" t="s">
        <v>20</v>
      </c>
      <c r="O23" s="3" t="str">
        <f t="shared" si="1"/>
        <v>Online</v>
      </c>
      <c r="P23" s="11">
        <v>6292000</v>
      </c>
      <c r="Q23" s="3">
        <v>3430300000</v>
      </c>
      <c r="R23" s="3">
        <v>2179700000</v>
      </c>
      <c r="S23" s="11">
        <v>9219000</v>
      </c>
    </row>
    <row r="24" spans="1:19" x14ac:dyDescent="0.35">
      <c r="A24" s="1" t="s">
        <v>19</v>
      </c>
      <c r="B24" s="1" t="str">
        <f t="shared" si="0"/>
        <v>AU Bank</v>
      </c>
      <c r="C24">
        <v>21</v>
      </c>
      <c r="D24">
        <v>0</v>
      </c>
      <c r="E24">
        <v>70</v>
      </c>
      <c r="F24" s="2">
        <v>21014.560000000001</v>
      </c>
      <c r="G24" s="2">
        <v>18372</v>
      </c>
      <c r="H24" s="2">
        <v>0</v>
      </c>
      <c r="I24" s="2">
        <v>18858.560000000001</v>
      </c>
      <c r="J24" s="2">
        <v>2100</v>
      </c>
      <c r="K24" s="3">
        <v>2100</v>
      </c>
      <c r="L24" s="3">
        <v>0</v>
      </c>
      <c r="M24" s="3">
        <v>2586.56</v>
      </c>
      <c r="N24" s="4" t="s">
        <v>42</v>
      </c>
      <c r="O24" s="3" t="str">
        <f t="shared" si="1"/>
        <v>Online</v>
      </c>
      <c r="P24" s="11">
        <v>5671000</v>
      </c>
      <c r="Q24" s="3">
        <v>2847100000</v>
      </c>
      <c r="R24" s="3">
        <v>1745800000</v>
      </c>
      <c r="S24" s="11">
        <v>8535000</v>
      </c>
    </row>
    <row r="25" spans="1:19" x14ac:dyDescent="0.35">
      <c r="A25" s="1" t="s">
        <v>21</v>
      </c>
      <c r="B25" s="1" t="str">
        <f t="shared" si="0"/>
        <v>AU Bank</v>
      </c>
      <c r="C25">
        <v>6</v>
      </c>
      <c r="D25">
        <v>0</v>
      </c>
      <c r="E25">
        <v>8</v>
      </c>
      <c r="F25" s="2">
        <v>4429.3999999999996</v>
      </c>
      <c r="G25" s="2">
        <v>1774</v>
      </c>
      <c r="H25" s="2">
        <v>2490</v>
      </c>
      <c r="I25" s="2">
        <v>3819.4</v>
      </c>
      <c r="J25" s="2">
        <v>600</v>
      </c>
      <c r="K25" s="3">
        <v>420</v>
      </c>
      <c r="L25" s="3">
        <v>180</v>
      </c>
      <c r="M25" s="3">
        <v>155.4</v>
      </c>
      <c r="N25" s="4" t="s">
        <v>42</v>
      </c>
      <c r="O25" s="3" t="str">
        <f t="shared" si="1"/>
        <v>Online</v>
      </c>
      <c r="P25" s="11">
        <v>5671000</v>
      </c>
      <c r="Q25" s="3">
        <v>2847100000</v>
      </c>
      <c r="R25" s="3">
        <v>1745800000</v>
      </c>
      <c r="S25" s="11">
        <v>8535000</v>
      </c>
    </row>
    <row r="26" spans="1:19" x14ac:dyDescent="0.35">
      <c r="A26" s="1" t="s">
        <v>22</v>
      </c>
      <c r="B26" s="1" t="str">
        <f t="shared" si="0"/>
        <v>AU Bank</v>
      </c>
      <c r="C26">
        <v>106</v>
      </c>
      <c r="D26">
        <v>0</v>
      </c>
      <c r="E26">
        <v>241</v>
      </c>
      <c r="F26" s="2">
        <v>78567</v>
      </c>
      <c r="G26" s="2">
        <v>0</v>
      </c>
      <c r="H26" s="2">
        <v>78567</v>
      </c>
      <c r="I26" s="2">
        <v>67967</v>
      </c>
      <c r="J26" s="2">
        <v>10600</v>
      </c>
      <c r="K26" s="3">
        <v>7420</v>
      </c>
      <c r="L26" s="3">
        <v>3180</v>
      </c>
      <c r="M26" s="3">
        <v>0</v>
      </c>
      <c r="N26" s="4" t="s">
        <v>42</v>
      </c>
      <c r="O26" s="3" t="str">
        <f t="shared" si="1"/>
        <v>Offline - F&amp;B</v>
      </c>
      <c r="P26" s="11">
        <v>5671000</v>
      </c>
      <c r="Q26" s="3">
        <v>2847100000</v>
      </c>
      <c r="R26" s="3">
        <v>1745800000</v>
      </c>
      <c r="S26" s="11">
        <v>8535000</v>
      </c>
    </row>
    <row r="27" spans="1:19" x14ac:dyDescent="0.35">
      <c r="A27" s="1" t="s">
        <v>43</v>
      </c>
      <c r="B27" s="1" t="str">
        <f t="shared" si="0"/>
        <v>Axis Bank</v>
      </c>
      <c r="C27">
        <v>1</v>
      </c>
      <c r="D27">
        <v>1</v>
      </c>
      <c r="E27">
        <v>3</v>
      </c>
      <c r="F27" s="2">
        <v>572.34</v>
      </c>
      <c r="G27" s="2">
        <v>572.34</v>
      </c>
      <c r="H27" s="2">
        <v>0</v>
      </c>
      <c r="I27" s="2">
        <v>381.56</v>
      </c>
      <c r="J27" s="2">
        <v>190.78</v>
      </c>
      <c r="K27" s="3">
        <v>167.89</v>
      </c>
      <c r="L27" s="3">
        <v>22.89</v>
      </c>
      <c r="M27" s="3">
        <v>0</v>
      </c>
      <c r="N27" s="4" t="s">
        <v>42</v>
      </c>
      <c r="O27" s="3" t="str">
        <f t="shared" si="1"/>
        <v>Offline - Box Office</v>
      </c>
      <c r="P27" s="11">
        <v>5671000</v>
      </c>
      <c r="Q27" s="3">
        <v>2847100000</v>
      </c>
      <c r="R27" s="3">
        <v>1745800000</v>
      </c>
      <c r="S27" s="11">
        <v>8535000</v>
      </c>
    </row>
    <row r="28" spans="1:19" x14ac:dyDescent="0.35">
      <c r="A28" s="1" t="s">
        <v>23</v>
      </c>
      <c r="B28" s="1" t="str">
        <f t="shared" si="0"/>
        <v>Axis Bank</v>
      </c>
      <c r="C28">
        <v>18</v>
      </c>
      <c r="D28">
        <v>18</v>
      </c>
      <c r="E28">
        <v>45</v>
      </c>
      <c r="F28" s="2">
        <v>11368.2</v>
      </c>
      <c r="G28" s="2">
        <v>8435.4</v>
      </c>
      <c r="H28" s="2">
        <v>1520</v>
      </c>
      <c r="I28" s="2">
        <v>8099.79</v>
      </c>
      <c r="J28" s="2">
        <v>3224.41</v>
      </c>
      <c r="K28" s="3">
        <v>2740.74</v>
      </c>
      <c r="L28" s="3">
        <v>483.67</v>
      </c>
      <c r="M28" s="3">
        <v>1368.8</v>
      </c>
      <c r="N28" s="4" t="s">
        <v>42</v>
      </c>
      <c r="O28" s="3" t="str">
        <f t="shared" si="1"/>
        <v>Online</v>
      </c>
      <c r="P28" s="11">
        <v>5671000</v>
      </c>
      <c r="Q28" s="3">
        <v>2847100000</v>
      </c>
      <c r="R28" s="3">
        <v>1745800000</v>
      </c>
      <c r="S28" s="11">
        <v>8535000</v>
      </c>
    </row>
    <row r="29" spans="1:19" x14ac:dyDescent="0.35">
      <c r="A29" s="1" t="s">
        <v>44</v>
      </c>
      <c r="B29" s="1" t="str">
        <f t="shared" si="0"/>
        <v>Axis Bank</v>
      </c>
      <c r="C29">
        <v>52</v>
      </c>
      <c r="D29">
        <v>52</v>
      </c>
      <c r="E29">
        <v>154</v>
      </c>
      <c r="F29" s="2">
        <v>29688.42</v>
      </c>
      <c r="G29" s="2">
        <v>28128.42</v>
      </c>
      <c r="H29" s="2">
        <v>1560</v>
      </c>
      <c r="I29" s="2">
        <v>20742.68</v>
      </c>
      <c r="J29" s="2">
        <v>8945.74</v>
      </c>
      <c r="K29" s="3">
        <v>7872.27</v>
      </c>
      <c r="L29" s="3">
        <v>1073.47</v>
      </c>
      <c r="M29" s="3">
        <v>0</v>
      </c>
      <c r="N29" s="4" t="s">
        <v>42</v>
      </c>
      <c r="O29" s="3" t="str">
        <f t="shared" si="1"/>
        <v>Offline - Box Office</v>
      </c>
      <c r="P29" s="11">
        <v>5671000</v>
      </c>
      <c r="Q29" s="3">
        <v>2847100000</v>
      </c>
      <c r="R29" s="3">
        <v>1745800000</v>
      </c>
      <c r="S29" s="11">
        <v>8535000</v>
      </c>
    </row>
    <row r="30" spans="1:19" x14ac:dyDescent="0.35">
      <c r="A30" s="1" t="s">
        <v>24</v>
      </c>
      <c r="B30" s="1" t="str">
        <f t="shared" si="0"/>
        <v>Axis Bank</v>
      </c>
      <c r="C30">
        <v>337</v>
      </c>
      <c r="D30">
        <v>337</v>
      </c>
      <c r="E30">
        <v>795</v>
      </c>
      <c r="F30" s="2">
        <v>181041.2</v>
      </c>
      <c r="G30" s="2">
        <v>155285.51999999999</v>
      </c>
      <c r="H30" s="2">
        <v>1180</v>
      </c>
      <c r="I30" s="2">
        <v>121630.56</v>
      </c>
      <c r="J30" s="2">
        <v>58768.639999999999</v>
      </c>
      <c r="K30" s="3">
        <v>49953.26</v>
      </c>
      <c r="L30" s="3">
        <v>8815.39</v>
      </c>
      <c r="M30" s="3">
        <v>23933.68</v>
      </c>
      <c r="N30" s="4" t="s">
        <v>42</v>
      </c>
      <c r="O30" s="3" t="str">
        <f t="shared" si="1"/>
        <v>Online</v>
      </c>
      <c r="P30" s="11">
        <v>5671000</v>
      </c>
      <c r="Q30" s="3">
        <v>2847100000</v>
      </c>
      <c r="R30" s="3">
        <v>1745800000</v>
      </c>
      <c r="S30" s="11">
        <v>8535000</v>
      </c>
    </row>
    <row r="31" spans="1:19" x14ac:dyDescent="0.35">
      <c r="A31" s="1" t="s">
        <v>45</v>
      </c>
      <c r="B31" s="1" t="str">
        <f t="shared" si="0"/>
        <v>DBS Bank</v>
      </c>
      <c r="C31">
        <v>5</v>
      </c>
      <c r="D31">
        <v>0</v>
      </c>
      <c r="E31">
        <v>14</v>
      </c>
      <c r="F31" s="2">
        <v>8009.86</v>
      </c>
      <c r="G31" s="2">
        <v>3505</v>
      </c>
      <c r="H31" s="2">
        <v>4060</v>
      </c>
      <c r="I31" s="2">
        <v>7143.86</v>
      </c>
      <c r="J31" s="2">
        <v>866</v>
      </c>
      <c r="K31" s="3">
        <v>866</v>
      </c>
      <c r="L31" s="3">
        <v>0</v>
      </c>
      <c r="M31" s="3">
        <v>444.86</v>
      </c>
      <c r="N31" s="4" t="s">
        <v>42</v>
      </c>
      <c r="O31" s="3" t="str">
        <f t="shared" si="1"/>
        <v>Online</v>
      </c>
      <c r="P31" s="11">
        <v>5671000</v>
      </c>
      <c r="Q31" s="3">
        <v>2847100000</v>
      </c>
      <c r="R31" s="3">
        <v>1745800000</v>
      </c>
      <c r="S31" s="11">
        <v>8535000</v>
      </c>
    </row>
    <row r="32" spans="1:19" x14ac:dyDescent="0.35">
      <c r="A32" s="1" t="s">
        <v>25</v>
      </c>
      <c r="B32" s="1" t="str">
        <f t="shared" si="0"/>
        <v>Federal Bank</v>
      </c>
      <c r="C32">
        <v>326</v>
      </c>
      <c r="D32">
        <v>326</v>
      </c>
      <c r="E32">
        <v>963</v>
      </c>
      <c r="F32" s="2">
        <v>178406.09</v>
      </c>
      <c r="G32" s="2">
        <v>173804.09</v>
      </c>
      <c r="H32" s="2">
        <v>4602</v>
      </c>
      <c r="I32" s="2">
        <v>146005.6</v>
      </c>
      <c r="J32" s="2">
        <v>32400.49</v>
      </c>
      <c r="K32" s="3">
        <v>32400.49</v>
      </c>
      <c r="L32" s="3">
        <v>0</v>
      </c>
      <c r="M32" s="3">
        <v>0</v>
      </c>
      <c r="N32" s="4" t="s">
        <v>42</v>
      </c>
      <c r="O32" s="3" t="str">
        <f t="shared" si="1"/>
        <v>Offline - Box Office</v>
      </c>
      <c r="P32" s="11">
        <v>5671000</v>
      </c>
      <c r="Q32" s="3">
        <v>2847100000</v>
      </c>
      <c r="R32" s="3">
        <v>1745800000</v>
      </c>
      <c r="S32" s="11">
        <v>8535000</v>
      </c>
    </row>
    <row r="33" spans="1:19" x14ac:dyDescent="0.35">
      <c r="A33" s="1" t="s">
        <v>26</v>
      </c>
      <c r="B33" s="1" t="str">
        <f t="shared" si="0"/>
        <v>Federal Bank</v>
      </c>
      <c r="C33">
        <v>204</v>
      </c>
      <c r="D33">
        <v>204</v>
      </c>
      <c r="E33">
        <v>528</v>
      </c>
      <c r="F33" s="2">
        <v>106109.1</v>
      </c>
      <c r="G33" s="2">
        <v>88530.8</v>
      </c>
      <c r="H33" s="2">
        <v>2110</v>
      </c>
      <c r="I33" s="2">
        <v>85695.11</v>
      </c>
      <c r="J33" s="2">
        <v>20033.990000000002</v>
      </c>
      <c r="K33" s="3">
        <v>20033.990000000002</v>
      </c>
      <c r="L33" s="3">
        <v>0</v>
      </c>
      <c r="M33" s="3">
        <v>15088.3</v>
      </c>
      <c r="N33" s="4" t="s">
        <v>42</v>
      </c>
      <c r="O33" s="3" t="str">
        <f t="shared" si="1"/>
        <v>Online</v>
      </c>
      <c r="P33" s="11">
        <v>5671000</v>
      </c>
      <c r="Q33" s="3">
        <v>2847100000</v>
      </c>
      <c r="R33" s="3">
        <v>1745800000</v>
      </c>
      <c r="S33" s="11">
        <v>8535000</v>
      </c>
    </row>
    <row r="34" spans="1:19" x14ac:dyDescent="0.35">
      <c r="A34" s="1" t="s">
        <v>27</v>
      </c>
      <c r="B34" s="1" t="str">
        <f t="shared" ref="B34:B65" si="2">IF(ISNUMBER(SEARCH("AXIS",A34)),"Axis Bank",
IF(ISNUMBER(SEARCH("HDFC",A34)),"HDFC Bank",
IF(ISNUMBER(SEARCH("ICICI",A34)),"ICICI Bank",
IF(ISNUMBER(SEARCH("AU",A34)),"AU Bank",
IF(ISNUMBER(SEARCH("KOTAK",A34)),"Kotak Mahindra Bank",
IF(ISNUMBER(SEARCH("SBI",A34)),"State Bank of India",
IF(ISNUMBER(SEARCH("HSBC",A34)),"HSBC",
IF(ISNUMBER(SEARCH("DBS",A34)),"DBS Bank",
IF(ISNUMBER(SEARCH("SCAPIA",A34)),"Scapia",
IF(ISNUMBER(SEARCH("STANDARD CHARTERED",A34)),"Standard Chartered Bank",
IF(ISNUMBER(SEARCH("IDBI",A34)),"IDBI Bank",
IF(ISNUMBER(SEARCH("J&amp;K",A34)),"J&amp;K Bank",
IF(ISNUMBER(SEARCH("JAMMU",A34)),"J&amp;K Bank",
IF(ISNUMBER(SEARCH("FEDERAL",A34)),"Federal Bank",
IF(ISNUMBER(SEARCH("BOBCARD",A34)),"BOB Card",
IF(ISNUMBER(SEARCH("BANK OF BARODA",A34)),"BOB Card",
IF(ISNUMBER(SEARCH("AMEX",A34)),"American Express",
IF(ISNUMBER(SEARCH("PLATINUM",A34)),"American Express",
IF(ISNUMBER(SEARCH("CENTURION",A34)),"American Express",
IF(ISNUMBER(SEARCH("VISA",A34)),"Visa",
IF(ISNUMBER(SEARCH("MASTERCARD",A34)),"Mastercard",
"")))))))))))))))))))))</f>
        <v>Federal Bank</v>
      </c>
      <c r="C34">
        <v>13</v>
      </c>
      <c r="D34">
        <v>13</v>
      </c>
      <c r="E34">
        <v>46</v>
      </c>
      <c r="F34" s="2">
        <v>8992.94</v>
      </c>
      <c r="G34" s="2">
        <v>8402.94</v>
      </c>
      <c r="H34" s="2">
        <v>590</v>
      </c>
      <c r="I34" s="2">
        <v>7692.94</v>
      </c>
      <c r="J34" s="2">
        <v>1300</v>
      </c>
      <c r="K34" s="3">
        <v>1300</v>
      </c>
      <c r="L34" s="3">
        <v>0</v>
      </c>
      <c r="M34" s="3">
        <v>0</v>
      </c>
      <c r="N34" s="4" t="s">
        <v>42</v>
      </c>
      <c r="O34" s="3" t="str">
        <f t="shared" si="1"/>
        <v>Offline - Box Office</v>
      </c>
      <c r="P34" s="11">
        <v>5671000</v>
      </c>
      <c r="Q34" s="3">
        <v>2847100000</v>
      </c>
      <c r="R34" s="3">
        <v>1745800000</v>
      </c>
      <c r="S34" s="11">
        <v>8535000</v>
      </c>
    </row>
    <row r="35" spans="1:19" x14ac:dyDescent="0.35">
      <c r="A35" s="1" t="s">
        <v>28</v>
      </c>
      <c r="B35" s="1" t="str">
        <f t="shared" si="2"/>
        <v>Federal Bank</v>
      </c>
      <c r="C35">
        <v>12</v>
      </c>
      <c r="D35">
        <v>12</v>
      </c>
      <c r="E35">
        <v>34</v>
      </c>
      <c r="F35" s="2">
        <v>9257.1</v>
      </c>
      <c r="G35" s="2">
        <v>7356.56</v>
      </c>
      <c r="H35" s="2">
        <v>770</v>
      </c>
      <c r="I35" s="2">
        <v>8014.1</v>
      </c>
      <c r="J35" s="2">
        <v>1199</v>
      </c>
      <c r="K35" s="3">
        <v>1199</v>
      </c>
      <c r="L35" s="3">
        <v>0</v>
      </c>
      <c r="M35" s="3">
        <v>1086.54</v>
      </c>
      <c r="N35" s="4" t="s">
        <v>42</v>
      </c>
      <c r="O35" s="3" t="str">
        <f t="shared" si="1"/>
        <v>Online</v>
      </c>
      <c r="P35" s="11">
        <v>5671000</v>
      </c>
      <c r="Q35" s="3">
        <v>2847100000</v>
      </c>
      <c r="R35" s="3">
        <v>1745800000</v>
      </c>
      <c r="S35" s="11">
        <v>8535000</v>
      </c>
    </row>
    <row r="36" spans="1:19" x14ac:dyDescent="0.35">
      <c r="A36" s="1" t="s">
        <v>29</v>
      </c>
      <c r="B36" s="1" t="str">
        <f t="shared" si="2"/>
        <v>Federal Bank</v>
      </c>
      <c r="C36">
        <v>47</v>
      </c>
      <c r="D36">
        <v>47</v>
      </c>
      <c r="E36">
        <v>152</v>
      </c>
      <c r="F36" s="2">
        <v>27661.4</v>
      </c>
      <c r="G36" s="2">
        <v>27391.4</v>
      </c>
      <c r="H36" s="2">
        <v>270</v>
      </c>
      <c r="I36" s="2">
        <v>22962.400000000001</v>
      </c>
      <c r="J36" s="2">
        <v>4699</v>
      </c>
      <c r="K36" s="3">
        <v>4699</v>
      </c>
      <c r="L36" s="3">
        <v>0</v>
      </c>
      <c r="M36" s="3">
        <v>0</v>
      </c>
      <c r="N36" s="4" t="s">
        <v>42</v>
      </c>
      <c r="O36" s="3" t="str">
        <f t="shared" si="1"/>
        <v>Offline - Box Office</v>
      </c>
      <c r="P36" s="11">
        <v>5671000</v>
      </c>
      <c r="Q36" s="3">
        <v>2847100000</v>
      </c>
      <c r="R36" s="3">
        <v>1745800000</v>
      </c>
      <c r="S36" s="11">
        <v>8535000</v>
      </c>
    </row>
    <row r="37" spans="1:19" x14ac:dyDescent="0.35">
      <c r="A37" s="1" t="s">
        <v>30</v>
      </c>
      <c r="B37" s="1" t="str">
        <f t="shared" si="2"/>
        <v>Federal Bank</v>
      </c>
      <c r="C37">
        <v>33</v>
      </c>
      <c r="D37">
        <v>33</v>
      </c>
      <c r="E37">
        <v>84</v>
      </c>
      <c r="F37" s="2">
        <v>17331.259999999998</v>
      </c>
      <c r="G37" s="2">
        <v>14817.12</v>
      </c>
      <c r="H37" s="2">
        <v>0</v>
      </c>
      <c r="I37" s="2">
        <v>14049.66</v>
      </c>
      <c r="J37" s="2">
        <v>3215.6</v>
      </c>
      <c r="K37" s="3">
        <v>3215.6</v>
      </c>
      <c r="L37" s="3">
        <v>0</v>
      </c>
      <c r="M37" s="3">
        <v>2448.14</v>
      </c>
      <c r="N37" s="4" t="s">
        <v>42</v>
      </c>
      <c r="O37" s="3" t="str">
        <f t="shared" si="1"/>
        <v>Online</v>
      </c>
      <c r="P37" s="11">
        <v>5671000</v>
      </c>
      <c r="Q37" s="3">
        <v>2847100000</v>
      </c>
      <c r="R37" s="3">
        <v>1745800000</v>
      </c>
      <c r="S37" s="11">
        <v>8535000</v>
      </c>
    </row>
    <row r="38" spans="1:19" x14ac:dyDescent="0.35">
      <c r="A38" s="1" t="s">
        <v>31</v>
      </c>
      <c r="B38" s="1" t="str">
        <f t="shared" si="2"/>
        <v>HSBC</v>
      </c>
      <c r="C38">
        <v>10</v>
      </c>
      <c r="D38">
        <v>0</v>
      </c>
      <c r="E38">
        <v>29</v>
      </c>
      <c r="F38" s="2">
        <v>16229.66</v>
      </c>
      <c r="G38" s="2">
        <v>14268</v>
      </c>
      <c r="H38" s="2">
        <v>0</v>
      </c>
      <c r="I38" s="2">
        <v>14772.66</v>
      </c>
      <c r="J38" s="2">
        <v>1427</v>
      </c>
      <c r="K38" s="3">
        <v>713.5</v>
      </c>
      <c r="L38" s="3">
        <v>713.5</v>
      </c>
      <c r="M38" s="3">
        <v>1931.66</v>
      </c>
      <c r="N38" s="4" t="s">
        <v>42</v>
      </c>
      <c r="O38" s="3" t="str">
        <f t="shared" si="1"/>
        <v>Online</v>
      </c>
      <c r="P38" s="11">
        <v>5671000</v>
      </c>
      <c r="Q38" s="3">
        <v>2847100000</v>
      </c>
      <c r="R38" s="3">
        <v>1745800000</v>
      </c>
      <c r="S38" s="11">
        <v>8535000</v>
      </c>
    </row>
    <row r="39" spans="1:19" x14ac:dyDescent="0.35">
      <c r="A39" s="1" t="s">
        <v>32</v>
      </c>
      <c r="B39" s="1" t="str">
        <f t="shared" si="2"/>
        <v>ICICI Bank</v>
      </c>
      <c r="C39">
        <v>1983</v>
      </c>
      <c r="D39">
        <v>0</v>
      </c>
      <c r="E39">
        <v>5861</v>
      </c>
      <c r="F39" s="2">
        <v>1222313.4099999999</v>
      </c>
      <c r="G39" s="2">
        <v>1196411.4099999999</v>
      </c>
      <c r="H39" s="2">
        <v>25902</v>
      </c>
      <c r="I39" s="2">
        <v>1028629.41</v>
      </c>
      <c r="J39" s="2">
        <v>193684</v>
      </c>
      <c r="K39" s="3">
        <v>170441.92</v>
      </c>
      <c r="L39" s="3">
        <v>23242.080000000002</v>
      </c>
      <c r="M39" s="3">
        <v>0</v>
      </c>
      <c r="N39" s="4" t="s">
        <v>42</v>
      </c>
      <c r="O39" s="3" t="str">
        <f t="shared" si="1"/>
        <v>Offline - Box Office</v>
      </c>
      <c r="P39" s="11">
        <v>5671000</v>
      </c>
      <c r="Q39" s="3">
        <v>2847100000</v>
      </c>
      <c r="R39" s="3">
        <v>1745800000</v>
      </c>
      <c r="S39" s="11">
        <v>8535000</v>
      </c>
    </row>
    <row r="40" spans="1:19" x14ac:dyDescent="0.35">
      <c r="A40" s="1" t="s">
        <v>33</v>
      </c>
      <c r="B40" s="1" t="str">
        <f t="shared" si="2"/>
        <v>ICICI Bank</v>
      </c>
      <c r="C40">
        <v>604</v>
      </c>
      <c r="D40">
        <v>0</v>
      </c>
      <c r="E40">
        <v>1751</v>
      </c>
      <c r="F40" s="2">
        <v>412889.02</v>
      </c>
      <c r="G40" s="2">
        <v>346025.48</v>
      </c>
      <c r="H40" s="2">
        <v>11950</v>
      </c>
      <c r="I40" s="2">
        <v>351756.02</v>
      </c>
      <c r="J40" s="2">
        <v>59581</v>
      </c>
      <c r="K40" s="3">
        <v>50643.85</v>
      </c>
      <c r="L40" s="3">
        <v>8937.15</v>
      </c>
      <c r="M40" s="3">
        <v>53361.54</v>
      </c>
      <c r="N40" s="4" t="s">
        <v>42</v>
      </c>
      <c r="O40" s="3" t="str">
        <f t="shared" si="1"/>
        <v>Online</v>
      </c>
      <c r="P40" s="11">
        <v>5671000</v>
      </c>
      <c r="Q40" s="3">
        <v>2847100000</v>
      </c>
      <c r="R40" s="3">
        <v>1745800000</v>
      </c>
      <c r="S40" s="11">
        <v>8535000</v>
      </c>
    </row>
    <row r="41" spans="1:19" x14ac:dyDescent="0.35">
      <c r="A41" s="1" t="s">
        <v>34</v>
      </c>
      <c r="B41" s="1" t="str">
        <f t="shared" si="2"/>
        <v>ICICI Bank</v>
      </c>
      <c r="C41">
        <v>227</v>
      </c>
      <c r="D41">
        <v>0</v>
      </c>
      <c r="E41">
        <v>636</v>
      </c>
      <c r="F41" s="2">
        <v>141998.57999999999</v>
      </c>
      <c r="G41" s="2">
        <v>138322.57999999999</v>
      </c>
      <c r="H41" s="2">
        <v>3676</v>
      </c>
      <c r="I41" s="2">
        <v>129974.58</v>
      </c>
      <c r="J41" s="2">
        <v>12024</v>
      </c>
      <c r="K41" s="3">
        <v>10581.12</v>
      </c>
      <c r="L41" s="3">
        <v>1442.88</v>
      </c>
      <c r="M41" s="3">
        <v>0</v>
      </c>
      <c r="N41" s="4" t="s">
        <v>42</v>
      </c>
      <c r="O41" s="3" t="str">
        <f t="shared" si="1"/>
        <v>Offline - Box Office</v>
      </c>
      <c r="P41" s="11">
        <v>5671000</v>
      </c>
      <c r="Q41" s="3">
        <v>2847100000</v>
      </c>
      <c r="R41" s="3">
        <v>1745800000</v>
      </c>
      <c r="S41" s="11">
        <v>8535000</v>
      </c>
    </row>
    <row r="42" spans="1:19" x14ac:dyDescent="0.35">
      <c r="A42" s="1" t="s">
        <v>35</v>
      </c>
      <c r="B42" s="1" t="str">
        <f t="shared" si="2"/>
        <v>ICICI Bank</v>
      </c>
      <c r="C42">
        <v>94</v>
      </c>
      <c r="D42">
        <v>0</v>
      </c>
      <c r="E42">
        <v>269</v>
      </c>
      <c r="F42" s="2">
        <v>65543.839999999997</v>
      </c>
      <c r="G42" s="2">
        <v>54077.66</v>
      </c>
      <c r="H42" s="2">
        <v>2960</v>
      </c>
      <c r="I42" s="2">
        <v>60353.84</v>
      </c>
      <c r="J42" s="2">
        <v>4970</v>
      </c>
      <c r="K42" s="3">
        <v>4224.5</v>
      </c>
      <c r="L42" s="3">
        <v>745.5</v>
      </c>
      <c r="M42" s="3">
        <v>8286.18</v>
      </c>
      <c r="N42" s="4" t="s">
        <v>42</v>
      </c>
      <c r="O42" s="3" t="str">
        <f t="shared" si="1"/>
        <v>Online</v>
      </c>
      <c r="P42" s="11">
        <v>5671000</v>
      </c>
      <c r="Q42" s="3">
        <v>2847100000</v>
      </c>
      <c r="R42" s="3">
        <v>1745800000</v>
      </c>
      <c r="S42" s="11">
        <v>8535000</v>
      </c>
    </row>
    <row r="43" spans="1:19" x14ac:dyDescent="0.35">
      <c r="A43" s="1" t="s">
        <v>46</v>
      </c>
      <c r="B43" s="1" t="str">
        <f t="shared" si="2"/>
        <v>IDBI Bank</v>
      </c>
      <c r="C43">
        <v>34</v>
      </c>
      <c r="D43">
        <v>0</v>
      </c>
      <c r="E43">
        <v>98</v>
      </c>
      <c r="F43" s="2">
        <v>15552.94</v>
      </c>
      <c r="G43" s="2">
        <v>15552.94</v>
      </c>
      <c r="H43" s="2">
        <v>0</v>
      </c>
      <c r="I43" s="2">
        <v>13375.94</v>
      </c>
      <c r="J43" s="2">
        <v>2177</v>
      </c>
      <c r="K43" s="3">
        <v>2177</v>
      </c>
      <c r="L43" s="3">
        <v>0</v>
      </c>
      <c r="M43" s="3">
        <v>0</v>
      </c>
      <c r="N43" s="4" t="s">
        <v>42</v>
      </c>
      <c r="O43" s="3" t="str">
        <f t="shared" si="1"/>
        <v>Offline - Box Office</v>
      </c>
      <c r="P43" s="11">
        <v>5671000</v>
      </c>
      <c r="Q43" s="3">
        <v>2847100000</v>
      </c>
      <c r="R43" s="3">
        <v>1745800000</v>
      </c>
      <c r="S43" s="11">
        <v>8535000</v>
      </c>
    </row>
    <row r="44" spans="1:19" x14ac:dyDescent="0.35">
      <c r="A44" s="1" t="s">
        <v>36</v>
      </c>
      <c r="B44" s="1" t="str">
        <f t="shared" si="2"/>
        <v>IDBI Bank</v>
      </c>
      <c r="C44">
        <v>9</v>
      </c>
      <c r="D44">
        <v>0</v>
      </c>
      <c r="E44">
        <v>21</v>
      </c>
      <c r="F44" s="2">
        <v>3752.28</v>
      </c>
      <c r="G44" s="2">
        <v>3194.56</v>
      </c>
      <c r="H44" s="2">
        <v>0</v>
      </c>
      <c r="I44" s="2">
        <v>3165.28</v>
      </c>
      <c r="J44" s="2">
        <v>565</v>
      </c>
      <c r="K44" s="3">
        <v>565</v>
      </c>
      <c r="L44" s="3">
        <v>0</v>
      </c>
      <c r="M44" s="3">
        <v>535.72</v>
      </c>
      <c r="N44" s="4" t="s">
        <v>42</v>
      </c>
      <c r="O44" s="3" t="str">
        <f t="shared" si="1"/>
        <v>Online</v>
      </c>
      <c r="P44" s="11">
        <v>5671000</v>
      </c>
      <c r="Q44" s="3">
        <v>2847100000</v>
      </c>
      <c r="R44" s="3">
        <v>1745800000</v>
      </c>
      <c r="S44" s="11">
        <v>8535000</v>
      </c>
    </row>
    <row r="45" spans="1:19" x14ac:dyDescent="0.35">
      <c r="A45" s="1" t="s">
        <v>47</v>
      </c>
      <c r="B45" s="1" t="str">
        <f t="shared" si="2"/>
        <v>IDBI Bank</v>
      </c>
      <c r="C45">
        <v>19</v>
      </c>
      <c r="D45">
        <v>0</v>
      </c>
      <c r="E45">
        <v>54</v>
      </c>
      <c r="F45" s="2">
        <v>9920</v>
      </c>
      <c r="G45" s="2">
        <v>0</v>
      </c>
      <c r="H45" s="2">
        <v>9920</v>
      </c>
      <c r="I45" s="2">
        <v>8670</v>
      </c>
      <c r="J45" s="2">
        <v>1250</v>
      </c>
      <c r="K45" s="3">
        <v>875</v>
      </c>
      <c r="L45" s="3">
        <v>375</v>
      </c>
      <c r="M45" s="3">
        <v>0</v>
      </c>
      <c r="N45" s="4" t="s">
        <v>42</v>
      </c>
      <c r="O45" s="3" t="str">
        <f t="shared" si="1"/>
        <v>Offline - F&amp;B</v>
      </c>
      <c r="P45" s="11">
        <v>5671000</v>
      </c>
      <c r="Q45" s="3">
        <v>2847100000</v>
      </c>
      <c r="R45" s="3">
        <v>1745800000</v>
      </c>
      <c r="S45" s="11">
        <v>8535000</v>
      </c>
    </row>
    <row r="46" spans="1:19" x14ac:dyDescent="0.35">
      <c r="A46" s="1" t="s">
        <v>48</v>
      </c>
      <c r="B46" s="1" t="str">
        <f t="shared" si="2"/>
        <v>IDBI Bank</v>
      </c>
      <c r="C46">
        <v>27</v>
      </c>
      <c r="D46">
        <v>0</v>
      </c>
      <c r="E46">
        <v>74</v>
      </c>
      <c r="F46" s="2">
        <v>17364.580000000002</v>
      </c>
      <c r="G46" s="2">
        <v>17364.580000000002</v>
      </c>
      <c r="H46" s="2">
        <v>0</v>
      </c>
      <c r="I46" s="2">
        <v>14152.58</v>
      </c>
      <c r="J46" s="2">
        <v>3212</v>
      </c>
      <c r="K46" s="3">
        <v>3212</v>
      </c>
      <c r="L46" s="3">
        <v>0</v>
      </c>
      <c r="M46" s="3">
        <v>0</v>
      </c>
      <c r="N46" s="4" t="s">
        <v>42</v>
      </c>
      <c r="O46" s="3" t="str">
        <f t="shared" si="1"/>
        <v>Offline - Box Office</v>
      </c>
      <c r="P46" s="11">
        <v>5671000</v>
      </c>
      <c r="Q46" s="3">
        <v>2847100000</v>
      </c>
      <c r="R46" s="3">
        <v>1745800000</v>
      </c>
      <c r="S46" s="11">
        <v>8535000</v>
      </c>
    </row>
    <row r="47" spans="1:19" x14ac:dyDescent="0.35">
      <c r="A47" s="1" t="s">
        <v>37</v>
      </c>
      <c r="B47" s="1" t="str">
        <f t="shared" si="2"/>
        <v>IDBI Bank</v>
      </c>
      <c r="C47">
        <v>16</v>
      </c>
      <c r="D47">
        <v>0</v>
      </c>
      <c r="E47">
        <v>52</v>
      </c>
      <c r="F47" s="2">
        <v>14904.04</v>
      </c>
      <c r="G47" s="2">
        <v>12910.92</v>
      </c>
      <c r="H47" s="2">
        <v>0</v>
      </c>
      <c r="I47" s="2">
        <v>12973.04</v>
      </c>
      <c r="J47" s="2">
        <v>1925</v>
      </c>
      <c r="K47" s="3">
        <v>1925</v>
      </c>
      <c r="L47" s="3">
        <v>0</v>
      </c>
      <c r="M47" s="3">
        <v>1987.12</v>
      </c>
      <c r="N47" s="4" t="s">
        <v>42</v>
      </c>
      <c r="O47" s="3" t="str">
        <f t="shared" si="1"/>
        <v>Online</v>
      </c>
      <c r="P47" s="11">
        <v>5671000</v>
      </c>
      <c r="Q47" s="3">
        <v>2847100000</v>
      </c>
      <c r="R47" s="3">
        <v>1745800000</v>
      </c>
      <c r="S47" s="11">
        <v>8535000</v>
      </c>
    </row>
    <row r="48" spans="1:19" x14ac:dyDescent="0.35">
      <c r="A48" s="1" t="s">
        <v>49</v>
      </c>
      <c r="B48" s="1" t="str">
        <f t="shared" si="2"/>
        <v>IDBI Bank</v>
      </c>
      <c r="C48">
        <v>28</v>
      </c>
      <c r="D48">
        <v>0</v>
      </c>
      <c r="E48">
        <v>63</v>
      </c>
      <c r="F48" s="2">
        <v>19024</v>
      </c>
      <c r="G48" s="2">
        <v>0</v>
      </c>
      <c r="H48" s="2">
        <v>19024</v>
      </c>
      <c r="I48" s="2">
        <v>15445</v>
      </c>
      <c r="J48" s="2">
        <v>3579</v>
      </c>
      <c r="K48" s="3">
        <v>2505.3000000000002</v>
      </c>
      <c r="L48" s="3">
        <v>1073.7</v>
      </c>
      <c r="M48" s="3">
        <v>0</v>
      </c>
      <c r="N48" s="4" t="s">
        <v>42</v>
      </c>
      <c r="O48" s="3" t="str">
        <f t="shared" si="1"/>
        <v>Offline - F&amp;B</v>
      </c>
      <c r="P48" s="11">
        <v>5671000</v>
      </c>
      <c r="Q48" s="3">
        <v>2847100000</v>
      </c>
      <c r="R48" s="3">
        <v>1745800000</v>
      </c>
      <c r="S48" s="11">
        <v>8535000</v>
      </c>
    </row>
    <row r="49" spans="1:19" x14ac:dyDescent="0.35">
      <c r="A49" s="1" t="s">
        <v>38</v>
      </c>
      <c r="B49" s="1" t="str">
        <f t="shared" si="2"/>
        <v>Kotak Mahindra Bank</v>
      </c>
      <c r="C49">
        <v>1771</v>
      </c>
      <c r="D49">
        <v>0</v>
      </c>
      <c r="E49">
        <v>3760</v>
      </c>
      <c r="F49" s="2">
        <v>1000354.05</v>
      </c>
      <c r="G49" s="2">
        <v>209387.59</v>
      </c>
      <c r="H49" s="2">
        <v>784901.44</v>
      </c>
      <c r="I49" s="2">
        <v>809040.05</v>
      </c>
      <c r="J49" s="2">
        <v>191136</v>
      </c>
      <c r="K49" s="3">
        <v>0</v>
      </c>
      <c r="L49" s="3">
        <v>191136</v>
      </c>
      <c r="M49" s="3">
        <v>5887.02</v>
      </c>
      <c r="N49" s="4" t="s">
        <v>42</v>
      </c>
      <c r="O49" s="3" t="str">
        <f t="shared" si="1"/>
        <v>Other</v>
      </c>
      <c r="P49" s="11">
        <v>5671000</v>
      </c>
      <c r="Q49" s="3">
        <v>2847100000</v>
      </c>
      <c r="R49" s="3">
        <v>1745800000</v>
      </c>
      <c r="S49" s="11">
        <v>8535000</v>
      </c>
    </row>
    <row r="50" spans="1:19" x14ac:dyDescent="0.35">
      <c r="A50" s="1" t="s">
        <v>39</v>
      </c>
      <c r="B50" s="1" t="str">
        <f t="shared" si="2"/>
        <v>Kotak Mahindra Bank</v>
      </c>
      <c r="C50">
        <v>1428</v>
      </c>
      <c r="D50">
        <v>0</v>
      </c>
      <c r="E50">
        <v>3728</v>
      </c>
      <c r="F50" s="2">
        <v>923683.6</v>
      </c>
      <c r="G50" s="2">
        <v>820412.22</v>
      </c>
      <c r="H50" s="2">
        <v>5793</v>
      </c>
      <c r="I50" s="2">
        <v>880828.6</v>
      </c>
      <c r="J50" s="2">
        <v>41063</v>
      </c>
      <c r="K50" s="3">
        <v>0</v>
      </c>
      <c r="L50" s="3">
        <v>41063</v>
      </c>
      <c r="M50" s="3">
        <v>95686.38</v>
      </c>
      <c r="N50" s="4" t="s">
        <v>42</v>
      </c>
      <c r="O50" s="3" t="str">
        <f t="shared" si="1"/>
        <v>Other</v>
      </c>
      <c r="P50" s="11">
        <v>5671000</v>
      </c>
      <c r="Q50" s="3">
        <v>2847100000</v>
      </c>
      <c r="R50" s="3">
        <v>1745800000</v>
      </c>
      <c r="S50" s="11">
        <v>8535000</v>
      </c>
    </row>
    <row r="51" spans="1:19" x14ac:dyDescent="0.35">
      <c r="A51" s="1" t="s">
        <v>40</v>
      </c>
      <c r="B51" s="1" t="str">
        <f t="shared" si="2"/>
        <v>Standard Chartered Bank</v>
      </c>
      <c r="C51">
        <v>10</v>
      </c>
      <c r="D51">
        <v>10</v>
      </c>
      <c r="E51">
        <v>24</v>
      </c>
      <c r="F51" s="2">
        <v>4484</v>
      </c>
      <c r="G51" s="2">
        <v>4484</v>
      </c>
      <c r="H51" s="2">
        <v>0</v>
      </c>
      <c r="I51" s="2">
        <v>2747</v>
      </c>
      <c r="J51" s="2">
        <v>1737</v>
      </c>
      <c r="K51" s="3">
        <v>1737</v>
      </c>
      <c r="L51" s="3">
        <v>0</v>
      </c>
      <c r="M51" s="3">
        <v>0</v>
      </c>
      <c r="N51" s="4" t="s">
        <v>42</v>
      </c>
      <c r="O51" s="3" t="str">
        <f t="shared" si="1"/>
        <v>Offline - Box Office</v>
      </c>
      <c r="P51" s="11">
        <v>5671000</v>
      </c>
      <c r="Q51" s="3">
        <v>2847100000</v>
      </c>
      <c r="R51" s="3">
        <v>1745800000</v>
      </c>
      <c r="S51" s="11">
        <v>8535000</v>
      </c>
    </row>
    <row r="52" spans="1:19" x14ac:dyDescent="0.35">
      <c r="A52" s="1" t="s">
        <v>41</v>
      </c>
      <c r="B52" s="1" t="str">
        <f t="shared" si="2"/>
        <v>Standard Chartered Bank</v>
      </c>
      <c r="C52">
        <v>85</v>
      </c>
      <c r="D52">
        <v>85</v>
      </c>
      <c r="E52">
        <v>184</v>
      </c>
      <c r="F52" s="2">
        <v>49929.9</v>
      </c>
      <c r="G52" s="2">
        <v>43556.480000000003</v>
      </c>
      <c r="H52" s="2">
        <v>0</v>
      </c>
      <c r="I52" s="2">
        <v>33825.879999999997</v>
      </c>
      <c r="J52" s="2">
        <v>15948.02</v>
      </c>
      <c r="K52" s="3">
        <v>15948.02</v>
      </c>
      <c r="L52" s="3">
        <v>0</v>
      </c>
      <c r="M52" s="3">
        <v>6217.42</v>
      </c>
      <c r="N52" s="4" t="s">
        <v>42</v>
      </c>
      <c r="O52" s="3" t="str">
        <f t="shared" si="1"/>
        <v>Online</v>
      </c>
      <c r="P52" s="11">
        <v>5671000</v>
      </c>
      <c r="Q52" s="3">
        <v>2847100000</v>
      </c>
      <c r="R52" s="3">
        <v>1745800000</v>
      </c>
      <c r="S52" s="11">
        <v>8535000</v>
      </c>
    </row>
    <row r="53" spans="1:19" x14ac:dyDescent="0.35">
      <c r="A53" s="1" t="s">
        <v>19</v>
      </c>
      <c r="B53" s="1" t="str">
        <f t="shared" si="2"/>
        <v>AU Bank</v>
      </c>
      <c r="C53">
        <v>59</v>
      </c>
      <c r="D53">
        <v>0</v>
      </c>
      <c r="E53">
        <v>164</v>
      </c>
      <c r="F53" s="2">
        <v>60733.16</v>
      </c>
      <c r="G53" s="2">
        <v>52156</v>
      </c>
      <c r="H53" s="2">
        <v>1230</v>
      </c>
      <c r="I53" s="2">
        <v>54639.16</v>
      </c>
      <c r="J53" s="2">
        <v>5900</v>
      </c>
      <c r="K53" s="3">
        <v>5900</v>
      </c>
      <c r="L53" s="3">
        <v>0</v>
      </c>
      <c r="M53" s="3">
        <v>7153.16</v>
      </c>
      <c r="N53" s="4" t="s">
        <v>50</v>
      </c>
      <c r="O53" s="3" t="str">
        <f t="shared" si="1"/>
        <v>Online</v>
      </c>
      <c r="P53" s="11">
        <v>8339000</v>
      </c>
      <c r="Q53" s="3">
        <v>4824300000</v>
      </c>
      <c r="R53" s="3">
        <v>3133700000</v>
      </c>
      <c r="S53" s="11">
        <v>12400000</v>
      </c>
    </row>
    <row r="54" spans="1:19" x14ac:dyDescent="0.35">
      <c r="A54" s="1" t="s">
        <v>21</v>
      </c>
      <c r="B54" s="1" t="str">
        <f t="shared" si="2"/>
        <v>AU Bank</v>
      </c>
      <c r="C54">
        <v>11</v>
      </c>
      <c r="D54">
        <v>0</v>
      </c>
      <c r="E54">
        <v>18</v>
      </c>
      <c r="F54" s="2">
        <v>10013.86</v>
      </c>
      <c r="G54" s="2">
        <v>5539.56</v>
      </c>
      <c r="H54" s="2">
        <v>4020</v>
      </c>
      <c r="I54" s="2">
        <v>8913.86</v>
      </c>
      <c r="J54" s="2">
        <v>1100</v>
      </c>
      <c r="K54" s="3">
        <v>770</v>
      </c>
      <c r="L54" s="3">
        <v>330</v>
      </c>
      <c r="M54" s="3">
        <v>454.3</v>
      </c>
      <c r="N54" s="4" t="s">
        <v>50</v>
      </c>
      <c r="O54" s="3" t="str">
        <f t="shared" si="1"/>
        <v>Online</v>
      </c>
      <c r="P54" s="11">
        <v>8339000</v>
      </c>
      <c r="Q54" s="3">
        <v>4824300000</v>
      </c>
      <c r="R54" s="3">
        <v>3133700000</v>
      </c>
      <c r="S54" s="11">
        <v>12400000</v>
      </c>
    </row>
    <row r="55" spans="1:19" x14ac:dyDescent="0.35">
      <c r="A55" s="1" t="s">
        <v>22</v>
      </c>
      <c r="B55" s="1" t="str">
        <f t="shared" si="2"/>
        <v>AU Bank</v>
      </c>
      <c r="C55">
        <v>394</v>
      </c>
      <c r="D55">
        <v>0</v>
      </c>
      <c r="E55">
        <v>894</v>
      </c>
      <c r="F55" s="2">
        <v>288462</v>
      </c>
      <c r="G55" s="2">
        <v>0</v>
      </c>
      <c r="H55" s="2">
        <v>288462</v>
      </c>
      <c r="I55" s="2">
        <v>249062</v>
      </c>
      <c r="J55" s="2">
        <v>39400</v>
      </c>
      <c r="K55" s="3">
        <v>27580</v>
      </c>
      <c r="L55" s="3">
        <v>11820</v>
      </c>
      <c r="M55" s="3">
        <v>0</v>
      </c>
      <c r="N55" s="4" t="s">
        <v>50</v>
      </c>
      <c r="O55" s="3" t="str">
        <f t="shared" si="1"/>
        <v>Offline - F&amp;B</v>
      </c>
      <c r="P55" s="11">
        <v>8339000</v>
      </c>
      <c r="Q55" s="3">
        <v>4824300000</v>
      </c>
      <c r="R55" s="3">
        <v>3133700000</v>
      </c>
      <c r="S55" s="11">
        <v>12400000</v>
      </c>
    </row>
    <row r="56" spans="1:19" x14ac:dyDescent="0.35">
      <c r="A56" s="1" t="s">
        <v>43</v>
      </c>
      <c r="B56" s="1" t="str">
        <f t="shared" si="2"/>
        <v>Axis Bank</v>
      </c>
      <c r="C56">
        <v>29</v>
      </c>
      <c r="D56">
        <v>29</v>
      </c>
      <c r="E56">
        <v>78</v>
      </c>
      <c r="F56" s="2">
        <v>22423.9</v>
      </c>
      <c r="G56" s="2">
        <v>21893.9</v>
      </c>
      <c r="H56" s="2">
        <v>530</v>
      </c>
      <c r="I56" s="2">
        <v>16906.599999999999</v>
      </c>
      <c r="J56" s="2">
        <v>5517.3</v>
      </c>
      <c r="K56" s="3">
        <v>4855.22</v>
      </c>
      <c r="L56" s="3">
        <v>662.08</v>
      </c>
      <c r="M56" s="3">
        <v>0</v>
      </c>
      <c r="N56" s="4" t="s">
        <v>50</v>
      </c>
      <c r="O56" s="3" t="str">
        <f t="shared" si="1"/>
        <v>Offline - Box Office</v>
      </c>
      <c r="P56" s="11">
        <v>8339000</v>
      </c>
      <c r="Q56" s="3">
        <v>4824300000</v>
      </c>
      <c r="R56" s="3">
        <v>3133700000</v>
      </c>
      <c r="S56" s="11">
        <v>12400000</v>
      </c>
    </row>
    <row r="57" spans="1:19" x14ac:dyDescent="0.35">
      <c r="A57" s="1" t="s">
        <v>23</v>
      </c>
      <c r="B57" s="1" t="str">
        <f t="shared" si="2"/>
        <v>Axis Bank</v>
      </c>
      <c r="C57">
        <v>19</v>
      </c>
      <c r="D57">
        <v>19</v>
      </c>
      <c r="E57">
        <v>45</v>
      </c>
      <c r="F57" s="2">
        <v>10834.46</v>
      </c>
      <c r="G57" s="2">
        <v>9294.1200000000008</v>
      </c>
      <c r="H57" s="2">
        <v>0</v>
      </c>
      <c r="I57" s="2">
        <v>7428.9</v>
      </c>
      <c r="J57" s="2">
        <v>3355.56</v>
      </c>
      <c r="K57" s="3">
        <v>2852.22</v>
      </c>
      <c r="L57" s="3">
        <v>503.34</v>
      </c>
      <c r="M57" s="3">
        <v>1490.34</v>
      </c>
      <c r="N57" s="4" t="s">
        <v>50</v>
      </c>
      <c r="O57" s="3" t="str">
        <f t="shared" si="1"/>
        <v>Online</v>
      </c>
      <c r="P57" s="11">
        <v>8339000</v>
      </c>
      <c r="Q57" s="3">
        <v>4824300000</v>
      </c>
      <c r="R57" s="3">
        <v>3133700000</v>
      </c>
      <c r="S57" s="11">
        <v>12400000</v>
      </c>
    </row>
    <row r="58" spans="1:19" x14ac:dyDescent="0.35">
      <c r="A58" s="1" t="s">
        <v>44</v>
      </c>
      <c r="B58" s="1" t="str">
        <f t="shared" si="2"/>
        <v>Axis Bank</v>
      </c>
      <c r="C58">
        <v>273</v>
      </c>
      <c r="D58">
        <v>273</v>
      </c>
      <c r="E58">
        <v>740</v>
      </c>
      <c r="F58" s="2">
        <v>180056.9</v>
      </c>
      <c r="G58" s="2">
        <v>179526.9</v>
      </c>
      <c r="H58" s="2">
        <v>530</v>
      </c>
      <c r="I58" s="2">
        <v>128725.48</v>
      </c>
      <c r="J58" s="2">
        <v>51331.42</v>
      </c>
      <c r="K58" s="3">
        <v>45171.7</v>
      </c>
      <c r="L58" s="3">
        <v>6159.72</v>
      </c>
      <c r="M58" s="3">
        <v>0</v>
      </c>
      <c r="N58" s="4" t="s">
        <v>50</v>
      </c>
      <c r="O58" s="3" t="str">
        <f t="shared" si="1"/>
        <v>Offline - Box Office</v>
      </c>
      <c r="P58" s="11">
        <v>8339000</v>
      </c>
      <c r="Q58" s="3">
        <v>4824300000</v>
      </c>
      <c r="R58" s="3">
        <v>3133700000</v>
      </c>
      <c r="S58" s="11">
        <v>12400000</v>
      </c>
    </row>
    <row r="59" spans="1:19" x14ac:dyDescent="0.35">
      <c r="A59" s="1" t="s">
        <v>24</v>
      </c>
      <c r="B59" s="1" t="str">
        <f t="shared" si="2"/>
        <v>Axis Bank</v>
      </c>
      <c r="C59">
        <v>617</v>
      </c>
      <c r="D59">
        <v>617</v>
      </c>
      <c r="E59">
        <v>1428</v>
      </c>
      <c r="F59" s="2">
        <v>386593.56</v>
      </c>
      <c r="G59" s="2">
        <v>332738.94</v>
      </c>
      <c r="H59" s="2">
        <v>4448</v>
      </c>
      <c r="I59" s="2">
        <v>270442.36</v>
      </c>
      <c r="J59" s="2">
        <v>114937.2</v>
      </c>
      <c r="K59" s="3">
        <v>97696.43</v>
      </c>
      <c r="L59" s="3">
        <v>17240.77</v>
      </c>
      <c r="M59" s="3">
        <v>48192.62</v>
      </c>
      <c r="N59" s="4" t="s">
        <v>50</v>
      </c>
      <c r="O59" s="3" t="str">
        <f t="shared" si="1"/>
        <v>Online</v>
      </c>
      <c r="P59" s="11">
        <v>8339000</v>
      </c>
      <c r="Q59" s="3">
        <v>4824300000</v>
      </c>
      <c r="R59" s="3">
        <v>3133700000</v>
      </c>
      <c r="S59" s="11">
        <v>12400000</v>
      </c>
    </row>
    <row r="60" spans="1:19" x14ac:dyDescent="0.35">
      <c r="A60" s="1" t="s">
        <v>45</v>
      </c>
      <c r="B60" s="1" t="str">
        <f t="shared" si="2"/>
        <v>DBS Bank</v>
      </c>
      <c r="C60">
        <v>5</v>
      </c>
      <c r="D60">
        <v>0</v>
      </c>
      <c r="E60">
        <v>14</v>
      </c>
      <c r="F60" s="2">
        <v>8639.36</v>
      </c>
      <c r="G60" s="2">
        <v>3996.24</v>
      </c>
      <c r="H60" s="2">
        <v>4180</v>
      </c>
      <c r="I60" s="2">
        <v>7707.36</v>
      </c>
      <c r="J60" s="2">
        <v>922</v>
      </c>
      <c r="K60" s="3">
        <v>922</v>
      </c>
      <c r="L60" s="3">
        <v>0</v>
      </c>
      <c r="M60" s="3">
        <v>453.12</v>
      </c>
      <c r="N60" s="4" t="s">
        <v>50</v>
      </c>
      <c r="O60" s="3" t="str">
        <f t="shared" si="1"/>
        <v>Online</v>
      </c>
      <c r="P60" s="11">
        <v>8339000</v>
      </c>
      <c r="Q60" s="3">
        <v>4824300000</v>
      </c>
      <c r="R60" s="3">
        <v>3133700000</v>
      </c>
      <c r="S60" s="11">
        <v>12400000</v>
      </c>
    </row>
    <row r="61" spans="1:19" x14ac:dyDescent="0.35">
      <c r="A61" s="1" t="s">
        <v>25</v>
      </c>
      <c r="B61" s="1" t="str">
        <f t="shared" si="2"/>
        <v>Federal Bank</v>
      </c>
      <c r="C61">
        <v>488</v>
      </c>
      <c r="D61">
        <v>488</v>
      </c>
      <c r="E61">
        <v>1528</v>
      </c>
      <c r="F61" s="2">
        <v>314403.51</v>
      </c>
      <c r="G61" s="2">
        <v>302999.51</v>
      </c>
      <c r="H61" s="2">
        <v>11404</v>
      </c>
      <c r="I61" s="2">
        <v>265925.63</v>
      </c>
      <c r="J61" s="2">
        <v>48477.88</v>
      </c>
      <c r="K61" s="3">
        <v>48477.88</v>
      </c>
      <c r="L61" s="3">
        <v>0</v>
      </c>
      <c r="M61" s="3">
        <v>0</v>
      </c>
      <c r="N61" s="4" t="s">
        <v>50</v>
      </c>
      <c r="O61" s="3" t="str">
        <f t="shared" si="1"/>
        <v>Offline - Box Office</v>
      </c>
      <c r="P61" s="11">
        <v>8339000</v>
      </c>
      <c r="Q61" s="3">
        <v>4824300000</v>
      </c>
      <c r="R61" s="3">
        <v>3133700000</v>
      </c>
      <c r="S61" s="11">
        <v>12400000</v>
      </c>
    </row>
    <row r="62" spans="1:19" x14ac:dyDescent="0.35">
      <c r="A62" s="1" t="s">
        <v>26</v>
      </c>
      <c r="B62" s="1" t="str">
        <f t="shared" si="2"/>
        <v>Federal Bank</v>
      </c>
      <c r="C62">
        <v>199</v>
      </c>
      <c r="D62">
        <v>199</v>
      </c>
      <c r="E62">
        <v>503</v>
      </c>
      <c r="F62" s="2">
        <v>125139.78</v>
      </c>
      <c r="G62" s="2">
        <v>105835.64</v>
      </c>
      <c r="H62" s="2">
        <v>2520</v>
      </c>
      <c r="I62" s="2">
        <v>105168.1</v>
      </c>
      <c r="J62" s="2">
        <v>19515.68</v>
      </c>
      <c r="K62" s="3">
        <v>19515.68</v>
      </c>
      <c r="L62" s="3">
        <v>0</v>
      </c>
      <c r="M62" s="3">
        <v>16328.14</v>
      </c>
      <c r="N62" s="4" t="s">
        <v>50</v>
      </c>
      <c r="O62" s="3" t="str">
        <f t="shared" si="1"/>
        <v>Online</v>
      </c>
      <c r="P62" s="11">
        <v>8339000</v>
      </c>
      <c r="Q62" s="3">
        <v>4824300000</v>
      </c>
      <c r="R62" s="3">
        <v>3133700000</v>
      </c>
      <c r="S62" s="11">
        <v>12400000</v>
      </c>
    </row>
    <row r="63" spans="1:19" x14ac:dyDescent="0.35">
      <c r="A63" s="1" t="s">
        <v>27</v>
      </c>
      <c r="B63" s="1" t="str">
        <f t="shared" si="2"/>
        <v>Federal Bank</v>
      </c>
      <c r="C63">
        <v>20</v>
      </c>
      <c r="D63">
        <v>20</v>
      </c>
      <c r="E63">
        <v>56</v>
      </c>
      <c r="F63" s="2">
        <v>12720.68</v>
      </c>
      <c r="G63" s="2">
        <v>12190.68</v>
      </c>
      <c r="H63" s="2">
        <v>530</v>
      </c>
      <c r="I63" s="2">
        <v>10721.68</v>
      </c>
      <c r="J63" s="2">
        <v>1999</v>
      </c>
      <c r="K63" s="3">
        <v>1999</v>
      </c>
      <c r="L63" s="3">
        <v>0</v>
      </c>
      <c r="M63" s="3">
        <v>0</v>
      </c>
      <c r="N63" s="4" t="s">
        <v>50</v>
      </c>
      <c r="O63" s="3" t="str">
        <f t="shared" si="1"/>
        <v>Offline - Box Office</v>
      </c>
      <c r="P63" s="11">
        <v>8339000</v>
      </c>
      <c r="Q63" s="3">
        <v>4824300000</v>
      </c>
      <c r="R63" s="3">
        <v>3133700000</v>
      </c>
      <c r="S63" s="11">
        <v>12400000</v>
      </c>
    </row>
    <row r="64" spans="1:19" x14ac:dyDescent="0.35">
      <c r="A64" s="1" t="s">
        <v>28</v>
      </c>
      <c r="B64" s="1" t="str">
        <f t="shared" si="2"/>
        <v>Federal Bank</v>
      </c>
      <c r="C64">
        <v>20</v>
      </c>
      <c r="D64">
        <v>20</v>
      </c>
      <c r="E64">
        <v>53</v>
      </c>
      <c r="F64" s="2">
        <v>12220.96</v>
      </c>
      <c r="G64" s="2">
        <v>9772.32</v>
      </c>
      <c r="H64" s="2">
        <v>810</v>
      </c>
      <c r="I64" s="2">
        <v>10253.719999999999</v>
      </c>
      <c r="J64" s="2">
        <v>1919.24</v>
      </c>
      <c r="K64" s="3">
        <v>1919.24</v>
      </c>
      <c r="L64" s="3">
        <v>0</v>
      </c>
      <c r="M64" s="3">
        <v>1590.64</v>
      </c>
      <c r="N64" s="4" t="s">
        <v>50</v>
      </c>
      <c r="O64" s="3" t="str">
        <f t="shared" si="1"/>
        <v>Online</v>
      </c>
      <c r="P64" s="11">
        <v>8339000</v>
      </c>
      <c r="Q64" s="3">
        <v>4824300000</v>
      </c>
      <c r="R64" s="3">
        <v>3133700000</v>
      </c>
      <c r="S64" s="11">
        <v>12400000</v>
      </c>
    </row>
    <row r="65" spans="1:19" x14ac:dyDescent="0.35">
      <c r="A65" s="1" t="s">
        <v>29</v>
      </c>
      <c r="B65" s="1" t="str">
        <f t="shared" si="2"/>
        <v>Federal Bank</v>
      </c>
      <c r="C65">
        <v>81</v>
      </c>
      <c r="D65">
        <v>81</v>
      </c>
      <c r="E65">
        <v>255</v>
      </c>
      <c r="F65" s="2">
        <v>54323.98</v>
      </c>
      <c r="G65" s="2">
        <v>53363.98</v>
      </c>
      <c r="H65" s="2">
        <v>960</v>
      </c>
      <c r="I65" s="2">
        <v>46304.74</v>
      </c>
      <c r="J65" s="2">
        <v>8019.24</v>
      </c>
      <c r="K65" s="3">
        <v>8019.24</v>
      </c>
      <c r="L65" s="3">
        <v>0</v>
      </c>
      <c r="M65" s="3">
        <v>0</v>
      </c>
      <c r="N65" s="4" t="s">
        <v>50</v>
      </c>
      <c r="O65" s="3" t="str">
        <f t="shared" si="1"/>
        <v>Offline - Box Office</v>
      </c>
      <c r="P65" s="11">
        <v>8339000</v>
      </c>
      <c r="Q65" s="3">
        <v>4824300000</v>
      </c>
      <c r="R65" s="3">
        <v>3133700000</v>
      </c>
      <c r="S65" s="11">
        <v>12400000</v>
      </c>
    </row>
    <row r="66" spans="1:19" x14ac:dyDescent="0.35">
      <c r="A66" s="1" t="s">
        <v>30</v>
      </c>
      <c r="B66" s="1" t="str">
        <f t="shared" ref="B66:B97" si="3">IF(ISNUMBER(SEARCH("AXIS",A66)),"Axis Bank",
IF(ISNUMBER(SEARCH("HDFC",A66)),"HDFC Bank",
IF(ISNUMBER(SEARCH("ICICI",A66)),"ICICI Bank",
IF(ISNUMBER(SEARCH("AU",A66)),"AU Bank",
IF(ISNUMBER(SEARCH("KOTAK",A66)),"Kotak Mahindra Bank",
IF(ISNUMBER(SEARCH("SBI",A66)),"State Bank of India",
IF(ISNUMBER(SEARCH("HSBC",A66)),"HSBC",
IF(ISNUMBER(SEARCH("DBS",A66)),"DBS Bank",
IF(ISNUMBER(SEARCH("SCAPIA",A66)),"Scapia",
IF(ISNUMBER(SEARCH("STANDARD CHARTERED",A66)),"Standard Chartered Bank",
IF(ISNUMBER(SEARCH("IDBI",A66)),"IDBI Bank",
IF(ISNUMBER(SEARCH("J&amp;K",A66)),"J&amp;K Bank",
IF(ISNUMBER(SEARCH("JAMMU",A66)),"J&amp;K Bank",
IF(ISNUMBER(SEARCH("FEDERAL",A66)),"Federal Bank",
IF(ISNUMBER(SEARCH("BOBCARD",A66)),"BOB Card",
IF(ISNUMBER(SEARCH("BANK OF BARODA",A66)),"BOB Card",
IF(ISNUMBER(SEARCH("AMEX",A66)),"American Express",
IF(ISNUMBER(SEARCH("PLATINUM",A66)),"American Express",
IF(ISNUMBER(SEARCH("CENTURION",A66)),"American Express",
IF(ISNUMBER(SEARCH("VISA",A66)),"Visa",
IF(ISNUMBER(SEARCH("MASTERCARD",A66)),"Mastercard",
"")))))))))))))))))))))</f>
        <v>Federal Bank</v>
      </c>
      <c r="C66">
        <v>44</v>
      </c>
      <c r="D66">
        <v>44</v>
      </c>
      <c r="E66">
        <v>105</v>
      </c>
      <c r="F66" s="2">
        <v>28766.12</v>
      </c>
      <c r="G66" s="2">
        <v>24703.14</v>
      </c>
      <c r="H66" s="2">
        <v>280</v>
      </c>
      <c r="I66" s="2">
        <v>24254.12</v>
      </c>
      <c r="J66" s="2">
        <v>4400</v>
      </c>
      <c r="K66" s="3">
        <v>4400</v>
      </c>
      <c r="L66" s="3">
        <v>0</v>
      </c>
      <c r="M66" s="3">
        <v>3670.98</v>
      </c>
      <c r="N66" s="4" t="s">
        <v>50</v>
      </c>
      <c r="O66" s="3" t="str">
        <f t="shared" ref="O66:O129" si="4">IF(ISNUMBER(SEARCH("Box Office",A66)),"Offline - Box Office",
IF(ISNUMBER(SEARCH("Digital Platforms",A66)),"Online",
IF(ISNUMBER(SEARCH("Refuel",A66)),"Offline - F&amp;B",
IF(ISNUMBER(SEARCH("Food &amp; Beverages",A66)),"Offline - F&amp;B",
IF(ISNUMBER(SEARCH("F&amp;B",A66)),"Offline - F&amp;B",
IF(ISNUMBER(SEARCH("Kiosk",A66)),"Offline - Box Office",
IF(ISNUMBER(SEARCH("Cinema",A66)),"Offline - Box Office",
"Other")))))))</f>
        <v>Online</v>
      </c>
      <c r="P66" s="11">
        <v>8339000</v>
      </c>
      <c r="Q66" s="3">
        <v>4824300000</v>
      </c>
      <c r="R66" s="3">
        <v>3133700000</v>
      </c>
      <c r="S66" s="11">
        <v>12400000</v>
      </c>
    </row>
    <row r="67" spans="1:19" x14ac:dyDescent="0.35">
      <c r="A67" s="1" t="s">
        <v>31</v>
      </c>
      <c r="B67" s="1" t="str">
        <f t="shared" si="3"/>
        <v>HSBC</v>
      </c>
      <c r="C67">
        <v>7</v>
      </c>
      <c r="D67">
        <v>0</v>
      </c>
      <c r="E67">
        <v>16</v>
      </c>
      <c r="F67" s="2">
        <v>10435.98</v>
      </c>
      <c r="G67" s="2">
        <v>9290</v>
      </c>
      <c r="H67" s="2">
        <v>0</v>
      </c>
      <c r="I67" s="2">
        <v>9494.98</v>
      </c>
      <c r="J67" s="2">
        <v>929</v>
      </c>
      <c r="K67" s="3">
        <v>464.5</v>
      </c>
      <c r="L67" s="3">
        <v>464.5</v>
      </c>
      <c r="M67" s="3">
        <v>1133.98</v>
      </c>
      <c r="N67" s="4" t="s">
        <v>50</v>
      </c>
      <c r="O67" s="3" t="str">
        <f t="shared" si="4"/>
        <v>Online</v>
      </c>
      <c r="P67" s="11">
        <v>8339000</v>
      </c>
      <c r="Q67" s="3">
        <v>4824300000</v>
      </c>
      <c r="R67" s="3">
        <v>3133700000</v>
      </c>
      <c r="S67" s="11">
        <v>12400000</v>
      </c>
    </row>
    <row r="68" spans="1:19" x14ac:dyDescent="0.35">
      <c r="A68" s="1" t="s">
        <v>32</v>
      </c>
      <c r="B68" s="1" t="str">
        <f t="shared" si="3"/>
        <v>ICICI Bank</v>
      </c>
      <c r="C68">
        <v>4938</v>
      </c>
      <c r="D68">
        <v>0</v>
      </c>
      <c r="E68">
        <v>14483</v>
      </c>
      <c r="F68" s="2">
        <v>3515193.6</v>
      </c>
      <c r="G68" s="2">
        <v>3477365.6</v>
      </c>
      <c r="H68" s="2">
        <v>37828</v>
      </c>
      <c r="I68" s="2">
        <v>3017233.6</v>
      </c>
      <c r="J68" s="2">
        <v>497960</v>
      </c>
      <c r="K68" s="3">
        <v>438204.8</v>
      </c>
      <c r="L68" s="3">
        <v>59755.199999999997</v>
      </c>
      <c r="M68" s="3">
        <v>0</v>
      </c>
      <c r="N68" s="4" t="s">
        <v>50</v>
      </c>
      <c r="O68" s="3" t="str">
        <f t="shared" si="4"/>
        <v>Offline - Box Office</v>
      </c>
      <c r="P68" s="11">
        <v>8339000</v>
      </c>
      <c r="Q68" s="3">
        <v>4824300000</v>
      </c>
      <c r="R68" s="3">
        <v>3133700000</v>
      </c>
      <c r="S68" s="11">
        <v>12400000</v>
      </c>
    </row>
    <row r="69" spans="1:19" x14ac:dyDescent="0.35">
      <c r="A69" s="1" t="s">
        <v>33</v>
      </c>
      <c r="B69" s="1" t="str">
        <f t="shared" si="3"/>
        <v>ICICI Bank</v>
      </c>
      <c r="C69">
        <v>1080</v>
      </c>
      <c r="D69">
        <v>0</v>
      </c>
      <c r="E69">
        <v>3110</v>
      </c>
      <c r="F69" s="2">
        <v>957629.41</v>
      </c>
      <c r="G69" s="2">
        <v>816053.63</v>
      </c>
      <c r="H69" s="2">
        <v>22540</v>
      </c>
      <c r="I69" s="2">
        <v>841117.41</v>
      </c>
      <c r="J69" s="2">
        <v>113790</v>
      </c>
      <c r="K69" s="3">
        <v>96721.5</v>
      </c>
      <c r="L69" s="3">
        <v>17068.5</v>
      </c>
      <c r="M69" s="3">
        <v>116313.78</v>
      </c>
      <c r="N69" s="4" t="s">
        <v>50</v>
      </c>
      <c r="O69" s="3" t="str">
        <f t="shared" si="4"/>
        <v>Online</v>
      </c>
      <c r="P69" s="11">
        <v>8339000</v>
      </c>
      <c r="Q69" s="3">
        <v>4824300000</v>
      </c>
      <c r="R69" s="3">
        <v>3133700000</v>
      </c>
      <c r="S69" s="11">
        <v>12400000</v>
      </c>
    </row>
    <row r="70" spans="1:19" x14ac:dyDescent="0.35">
      <c r="A70" s="1" t="s">
        <v>34</v>
      </c>
      <c r="B70" s="1" t="str">
        <f t="shared" si="3"/>
        <v>ICICI Bank</v>
      </c>
      <c r="C70">
        <v>911</v>
      </c>
      <c r="D70">
        <v>0</v>
      </c>
      <c r="E70">
        <v>2614</v>
      </c>
      <c r="F70" s="2">
        <v>687207.03</v>
      </c>
      <c r="G70" s="2">
        <v>675859.03</v>
      </c>
      <c r="H70" s="2">
        <v>11348</v>
      </c>
      <c r="I70" s="2">
        <v>638596.03</v>
      </c>
      <c r="J70" s="2">
        <v>48611</v>
      </c>
      <c r="K70" s="3">
        <v>42777.68</v>
      </c>
      <c r="L70" s="3">
        <v>5833.32</v>
      </c>
      <c r="M70" s="3">
        <v>0</v>
      </c>
      <c r="N70" s="4" t="s">
        <v>50</v>
      </c>
      <c r="O70" s="3" t="str">
        <f t="shared" si="4"/>
        <v>Offline - Box Office</v>
      </c>
      <c r="P70" s="11">
        <v>8339000</v>
      </c>
      <c r="Q70" s="3">
        <v>4824300000</v>
      </c>
      <c r="R70" s="3">
        <v>3133700000</v>
      </c>
      <c r="S70" s="11">
        <v>12400000</v>
      </c>
    </row>
    <row r="71" spans="1:19" x14ac:dyDescent="0.35">
      <c r="A71" s="1" t="s">
        <v>35</v>
      </c>
      <c r="B71" s="1" t="str">
        <f t="shared" si="3"/>
        <v>ICICI Bank</v>
      </c>
      <c r="C71">
        <v>165</v>
      </c>
      <c r="D71">
        <v>0</v>
      </c>
      <c r="E71">
        <v>490</v>
      </c>
      <c r="F71" s="2">
        <v>161377.42000000001</v>
      </c>
      <c r="G71" s="2">
        <v>138596.6</v>
      </c>
      <c r="H71" s="2">
        <v>3270</v>
      </c>
      <c r="I71" s="2">
        <v>151869.42000000001</v>
      </c>
      <c r="J71" s="2">
        <v>8994</v>
      </c>
      <c r="K71" s="3">
        <v>7644.9</v>
      </c>
      <c r="L71" s="3">
        <v>1349.1</v>
      </c>
      <c r="M71" s="3">
        <v>18996.82</v>
      </c>
      <c r="N71" s="4" t="s">
        <v>50</v>
      </c>
      <c r="O71" s="3" t="str">
        <f t="shared" si="4"/>
        <v>Online</v>
      </c>
      <c r="P71" s="11">
        <v>8339000</v>
      </c>
      <c r="Q71" s="3">
        <v>4824300000</v>
      </c>
      <c r="R71" s="3">
        <v>3133700000</v>
      </c>
      <c r="S71" s="11">
        <v>12400000</v>
      </c>
    </row>
    <row r="72" spans="1:19" x14ac:dyDescent="0.35">
      <c r="A72" s="1" t="s">
        <v>46</v>
      </c>
      <c r="B72" s="1" t="str">
        <f t="shared" si="3"/>
        <v>IDBI Bank</v>
      </c>
      <c r="C72">
        <v>121</v>
      </c>
      <c r="D72">
        <v>0</v>
      </c>
      <c r="E72">
        <v>333</v>
      </c>
      <c r="F72" s="2">
        <v>77410.02</v>
      </c>
      <c r="G72" s="2">
        <v>76734.02</v>
      </c>
      <c r="H72" s="2">
        <v>676</v>
      </c>
      <c r="I72" s="2">
        <v>69575.02</v>
      </c>
      <c r="J72" s="2">
        <v>7835</v>
      </c>
      <c r="K72" s="3">
        <v>7835</v>
      </c>
      <c r="L72" s="3">
        <v>0</v>
      </c>
      <c r="M72" s="3">
        <v>0</v>
      </c>
      <c r="N72" s="4" t="s">
        <v>50</v>
      </c>
      <c r="O72" s="3" t="str">
        <f t="shared" si="4"/>
        <v>Offline - Box Office</v>
      </c>
      <c r="P72" s="11">
        <v>8339000</v>
      </c>
      <c r="Q72" s="3">
        <v>4824300000</v>
      </c>
      <c r="R72" s="3">
        <v>3133700000</v>
      </c>
      <c r="S72" s="11">
        <v>12400000</v>
      </c>
    </row>
    <row r="73" spans="1:19" x14ac:dyDescent="0.35">
      <c r="A73" s="1" t="s">
        <v>36</v>
      </c>
      <c r="B73" s="1" t="str">
        <f t="shared" si="3"/>
        <v>IDBI Bank</v>
      </c>
      <c r="C73">
        <v>17</v>
      </c>
      <c r="D73">
        <v>0</v>
      </c>
      <c r="E73">
        <v>33</v>
      </c>
      <c r="F73" s="2">
        <v>8952.74</v>
      </c>
      <c r="G73" s="2">
        <v>7594.12</v>
      </c>
      <c r="H73" s="2">
        <v>270</v>
      </c>
      <c r="I73" s="2">
        <v>7836.74</v>
      </c>
      <c r="J73" s="2">
        <v>1100</v>
      </c>
      <c r="K73" s="3">
        <v>1100</v>
      </c>
      <c r="L73" s="3">
        <v>0</v>
      </c>
      <c r="M73" s="3">
        <v>1072.6199999999999</v>
      </c>
      <c r="N73" s="4" t="s">
        <v>50</v>
      </c>
      <c r="O73" s="3" t="str">
        <f t="shared" si="4"/>
        <v>Online</v>
      </c>
      <c r="P73" s="11">
        <v>8339000</v>
      </c>
      <c r="Q73" s="3">
        <v>4824300000</v>
      </c>
      <c r="R73" s="3">
        <v>3133700000</v>
      </c>
      <c r="S73" s="11">
        <v>12400000</v>
      </c>
    </row>
    <row r="74" spans="1:19" x14ac:dyDescent="0.35">
      <c r="A74" s="1" t="s">
        <v>47</v>
      </c>
      <c r="B74" s="1" t="str">
        <f t="shared" si="3"/>
        <v>IDBI Bank</v>
      </c>
      <c r="C74">
        <v>79</v>
      </c>
      <c r="D74">
        <v>0</v>
      </c>
      <c r="E74">
        <v>201</v>
      </c>
      <c r="F74" s="2">
        <v>50773</v>
      </c>
      <c r="G74" s="2">
        <v>0</v>
      </c>
      <c r="H74" s="2">
        <v>50773</v>
      </c>
      <c r="I74" s="2">
        <v>45536</v>
      </c>
      <c r="J74" s="2">
        <v>5237</v>
      </c>
      <c r="K74" s="3">
        <v>3665.9</v>
      </c>
      <c r="L74" s="3">
        <v>1571.1</v>
      </c>
      <c r="M74" s="3">
        <v>0</v>
      </c>
      <c r="N74" s="4" t="s">
        <v>50</v>
      </c>
      <c r="O74" s="3" t="str">
        <f t="shared" si="4"/>
        <v>Offline - F&amp;B</v>
      </c>
      <c r="P74" s="11">
        <v>8339000</v>
      </c>
      <c r="Q74" s="3">
        <v>4824300000</v>
      </c>
      <c r="R74" s="3">
        <v>3133700000</v>
      </c>
      <c r="S74" s="11">
        <v>12400000</v>
      </c>
    </row>
    <row r="75" spans="1:19" x14ac:dyDescent="0.35">
      <c r="A75" s="1" t="s">
        <v>48</v>
      </c>
      <c r="B75" s="1" t="str">
        <f t="shared" si="3"/>
        <v>IDBI Bank</v>
      </c>
      <c r="C75">
        <v>87</v>
      </c>
      <c r="D75">
        <v>0</v>
      </c>
      <c r="E75">
        <v>251</v>
      </c>
      <c r="F75" s="2">
        <v>68016.02</v>
      </c>
      <c r="G75" s="2">
        <v>66977.02</v>
      </c>
      <c r="H75" s="2">
        <v>1039</v>
      </c>
      <c r="I75" s="2">
        <v>57033.02</v>
      </c>
      <c r="J75" s="2">
        <v>10983</v>
      </c>
      <c r="K75" s="3">
        <v>10983</v>
      </c>
      <c r="L75" s="3">
        <v>0</v>
      </c>
      <c r="M75" s="3">
        <v>0</v>
      </c>
      <c r="N75" s="4" t="s">
        <v>50</v>
      </c>
      <c r="O75" s="3" t="str">
        <f t="shared" si="4"/>
        <v>Offline - Box Office</v>
      </c>
      <c r="P75" s="11">
        <v>8339000</v>
      </c>
      <c r="Q75" s="3">
        <v>4824300000</v>
      </c>
      <c r="R75" s="3">
        <v>3133700000</v>
      </c>
      <c r="S75" s="11">
        <v>12400000</v>
      </c>
    </row>
    <row r="76" spans="1:19" x14ac:dyDescent="0.35">
      <c r="A76" s="1" t="s">
        <v>37</v>
      </c>
      <c r="B76" s="1" t="str">
        <f t="shared" si="3"/>
        <v>IDBI Bank</v>
      </c>
      <c r="C76">
        <v>32</v>
      </c>
      <c r="D76">
        <v>0</v>
      </c>
      <c r="E76">
        <v>86</v>
      </c>
      <c r="F76" s="2">
        <v>24187.14</v>
      </c>
      <c r="G76" s="2">
        <v>20780</v>
      </c>
      <c r="H76" s="2">
        <v>390</v>
      </c>
      <c r="I76" s="2">
        <v>20219.14</v>
      </c>
      <c r="J76" s="2">
        <v>3928</v>
      </c>
      <c r="K76" s="3">
        <v>3928</v>
      </c>
      <c r="L76" s="3">
        <v>0</v>
      </c>
      <c r="M76" s="3">
        <v>2977.14</v>
      </c>
      <c r="N76" s="4" t="s">
        <v>50</v>
      </c>
      <c r="O76" s="3" t="str">
        <f t="shared" si="4"/>
        <v>Online</v>
      </c>
      <c r="P76" s="11">
        <v>8339000</v>
      </c>
      <c r="Q76" s="3">
        <v>4824300000</v>
      </c>
      <c r="R76" s="3">
        <v>3133700000</v>
      </c>
      <c r="S76" s="11">
        <v>12400000</v>
      </c>
    </row>
    <row r="77" spans="1:19" x14ac:dyDescent="0.35">
      <c r="A77" s="1" t="s">
        <v>49</v>
      </c>
      <c r="B77" s="1" t="str">
        <f t="shared" si="3"/>
        <v>IDBI Bank</v>
      </c>
      <c r="C77">
        <v>84</v>
      </c>
      <c r="D77">
        <v>0</v>
      </c>
      <c r="E77">
        <v>230</v>
      </c>
      <c r="F77" s="2">
        <v>62760</v>
      </c>
      <c r="G77" s="2">
        <v>0</v>
      </c>
      <c r="H77" s="2">
        <v>62760</v>
      </c>
      <c r="I77" s="2">
        <v>52791</v>
      </c>
      <c r="J77" s="2">
        <v>9969</v>
      </c>
      <c r="K77" s="3">
        <v>6978.3</v>
      </c>
      <c r="L77" s="3">
        <v>2990.7</v>
      </c>
      <c r="M77" s="3">
        <v>0</v>
      </c>
      <c r="N77" s="4" t="s">
        <v>50</v>
      </c>
      <c r="O77" s="3" t="str">
        <f t="shared" si="4"/>
        <v>Offline - F&amp;B</v>
      </c>
      <c r="P77" s="11">
        <v>8339000</v>
      </c>
      <c r="Q77" s="3">
        <v>4824300000</v>
      </c>
      <c r="R77" s="3">
        <v>3133700000</v>
      </c>
      <c r="S77" s="11">
        <v>12400000</v>
      </c>
    </row>
    <row r="78" spans="1:19" x14ac:dyDescent="0.35">
      <c r="A78" s="1" t="s">
        <v>51</v>
      </c>
      <c r="B78" s="1" t="str">
        <f t="shared" si="3"/>
        <v>Kotak Mahindra Bank</v>
      </c>
      <c r="C78">
        <v>74</v>
      </c>
      <c r="D78">
        <v>0</v>
      </c>
      <c r="E78">
        <v>163</v>
      </c>
      <c r="F78" s="2">
        <v>130418.96</v>
      </c>
      <c r="G78" s="2">
        <v>115130</v>
      </c>
      <c r="H78" s="2">
        <v>1840</v>
      </c>
      <c r="I78" s="2">
        <v>106080.96000000001</v>
      </c>
      <c r="J78" s="2">
        <v>24190</v>
      </c>
      <c r="K78" s="3">
        <v>19352</v>
      </c>
      <c r="L78" s="3">
        <v>4838</v>
      </c>
      <c r="M78" s="3">
        <v>13300.96</v>
      </c>
      <c r="N78" s="4" t="s">
        <v>50</v>
      </c>
      <c r="O78" s="3" t="str">
        <f t="shared" si="4"/>
        <v>Online</v>
      </c>
      <c r="P78" s="11">
        <v>8339000</v>
      </c>
      <c r="Q78" s="3">
        <v>4824300000</v>
      </c>
      <c r="R78" s="3">
        <v>3133700000</v>
      </c>
      <c r="S78" s="11">
        <v>12400000</v>
      </c>
    </row>
    <row r="79" spans="1:19" x14ac:dyDescent="0.35">
      <c r="A79" s="1" t="s">
        <v>52</v>
      </c>
      <c r="B79" s="1" t="str">
        <f t="shared" si="3"/>
        <v>Kotak Mahindra Bank</v>
      </c>
      <c r="C79">
        <v>21</v>
      </c>
      <c r="D79">
        <v>21</v>
      </c>
      <c r="E79">
        <v>45</v>
      </c>
      <c r="F79" s="2">
        <v>37496.06</v>
      </c>
      <c r="G79" s="2">
        <v>34140</v>
      </c>
      <c r="H79" s="2">
        <v>0</v>
      </c>
      <c r="I79" s="2">
        <v>23034.06</v>
      </c>
      <c r="J79" s="2">
        <v>14430</v>
      </c>
      <c r="K79" s="3">
        <v>14430</v>
      </c>
      <c r="L79" s="3">
        <v>0</v>
      </c>
      <c r="M79" s="3">
        <v>3324.06</v>
      </c>
      <c r="N79" s="4" t="s">
        <v>50</v>
      </c>
      <c r="O79" s="3" t="str">
        <f t="shared" si="4"/>
        <v>Online</v>
      </c>
      <c r="P79" s="11">
        <v>8339000</v>
      </c>
      <c r="Q79" s="3">
        <v>4824300000</v>
      </c>
      <c r="R79" s="3">
        <v>3133700000</v>
      </c>
      <c r="S79" s="11">
        <v>12400000</v>
      </c>
    </row>
    <row r="80" spans="1:19" x14ac:dyDescent="0.35">
      <c r="A80" s="1" t="s">
        <v>38</v>
      </c>
      <c r="B80" s="1" t="str">
        <f t="shared" si="3"/>
        <v>Kotak Mahindra Bank</v>
      </c>
      <c r="C80">
        <v>6550</v>
      </c>
      <c r="D80">
        <v>0</v>
      </c>
      <c r="E80">
        <v>14984</v>
      </c>
      <c r="F80" s="2">
        <v>3931641.54</v>
      </c>
      <c r="G80" s="2">
        <v>402926.56</v>
      </c>
      <c r="H80" s="2">
        <v>3519402.14</v>
      </c>
      <c r="I80" s="2">
        <v>3159715.54</v>
      </c>
      <c r="J80" s="2">
        <v>771744</v>
      </c>
      <c r="K80" s="3">
        <v>0</v>
      </c>
      <c r="L80" s="3">
        <v>771744</v>
      </c>
      <c r="M80" s="3">
        <v>9130.84</v>
      </c>
      <c r="N80" s="4" t="s">
        <v>50</v>
      </c>
      <c r="O80" s="3" t="str">
        <f t="shared" si="4"/>
        <v>Other</v>
      </c>
      <c r="P80" s="11">
        <v>8339000</v>
      </c>
      <c r="Q80" s="3">
        <v>4824300000</v>
      </c>
      <c r="R80" s="3">
        <v>3133700000</v>
      </c>
      <c r="S80" s="11">
        <v>12400000</v>
      </c>
    </row>
    <row r="81" spans="1:19" x14ac:dyDescent="0.35">
      <c r="A81" s="1" t="s">
        <v>39</v>
      </c>
      <c r="B81" s="1" t="str">
        <f t="shared" si="3"/>
        <v>Kotak Mahindra Bank</v>
      </c>
      <c r="C81">
        <v>2499</v>
      </c>
      <c r="D81">
        <v>0</v>
      </c>
      <c r="E81">
        <v>6835</v>
      </c>
      <c r="F81" s="2">
        <v>2100668.0499999998</v>
      </c>
      <c r="G81" s="2">
        <v>1927939.71</v>
      </c>
      <c r="H81" s="2">
        <v>7848</v>
      </c>
      <c r="I81" s="2">
        <v>2001176.05</v>
      </c>
      <c r="J81" s="2">
        <v>96406</v>
      </c>
      <c r="K81" s="3">
        <v>0</v>
      </c>
      <c r="L81" s="3">
        <v>96406</v>
      </c>
      <c r="M81" s="3">
        <v>161794.34</v>
      </c>
      <c r="N81" s="4" t="s">
        <v>50</v>
      </c>
      <c r="O81" s="3" t="str">
        <f t="shared" si="4"/>
        <v>Other</v>
      </c>
      <c r="P81" s="11">
        <v>8339000</v>
      </c>
      <c r="Q81" s="3">
        <v>4824300000</v>
      </c>
      <c r="R81" s="3">
        <v>3133700000</v>
      </c>
      <c r="S81" s="11">
        <v>12400000</v>
      </c>
    </row>
    <row r="82" spans="1:19" x14ac:dyDescent="0.35">
      <c r="A82" s="1" t="s">
        <v>40</v>
      </c>
      <c r="B82" s="1" t="str">
        <f t="shared" si="3"/>
        <v>Standard Chartered Bank</v>
      </c>
      <c r="C82">
        <v>43</v>
      </c>
      <c r="D82">
        <v>43</v>
      </c>
      <c r="E82">
        <v>104</v>
      </c>
      <c r="F82" s="2">
        <v>26079.8</v>
      </c>
      <c r="G82" s="2">
        <v>24919.8</v>
      </c>
      <c r="H82" s="2">
        <v>1160</v>
      </c>
      <c r="I82" s="2">
        <v>18157.68</v>
      </c>
      <c r="J82" s="2">
        <v>7922.12</v>
      </c>
      <c r="K82" s="3">
        <v>7922.12</v>
      </c>
      <c r="L82" s="3">
        <v>0</v>
      </c>
      <c r="M82" s="3">
        <v>0</v>
      </c>
      <c r="N82" s="4" t="s">
        <v>50</v>
      </c>
      <c r="O82" s="3" t="str">
        <f t="shared" si="4"/>
        <v>Offline - Box Office</v>
      </c>
      <c r="P82" s="11">
        <v>8339000</v>
      </c>
      <c r="Q82" s="3">
        <v>4824300000</v>
      </c>
      <c r="R82" s="3">
        <v>3133700000</v>
      </c>
      <c r="S82" s="11">
        <v>12400000</v>
      </c>
    </row>
    <row r="83" spans="1:19" x14ac:dyDescent="0.35">
      <c r="A83" s="1" t="s">
        <v>41</v>
      </c>
      <c r="B83" s="1" t="str">
        <f t="shared" si="3"/>
        <v>Standard Chartered Bank</v>
      </c>
      <c r="C83">
        <v>162</v>
      </c>
      <c r="D83">
        <v>162</v>
      </c>
      <c r="E83">
        <v>359</v>
      </c>
      <c r="F83" s="2">
        <v>105007.3</v>
      </c>
      <c r="G83" s="2">
        <v>91932.52</v>
      </c>
      <c r="H83" s="2">
        <v>0</v>
      </c>
      <c r="I83" s="2">
        <v>73390.399999999994</v>
      </c>
      <c r="J83" s="2">
        <v>31310.9</v>
      </c>
      <c r="K83" s="3">
        <v>31310.9</v>
      </c>
      <c r="L83" s="3">
        <v>0</v>
      </c>
      <c r="M83" s="3">
        <v>12768.78</v>
      </c>
      <c r="N83" s="4" t="s">
        <v>50</v>
      </c>
      <c r="O83" s="3" t="str">
        <f t="shared" si="4"/>
        <v>Online</v>
      </c>
      <c r="P83" s="11">
        <v>8339000</v>
      </c>
      <c r="Q83" s="3">
        <v>4824300000</v>
      </c>
      <c r="R83" s="3">
        <v>3133700000</v>
      </c>
      <c r="S83" s="11">
        <v>12400000</v>
      </c>
    </row>
    <row r="84" spans="1:19" x14ac:dyDescent="0.35">
      <c r="A84" s="1" t="s">
        <v>19</v>
      </c>
      <c r="B84" s="1" t="str">
        <f t="shared" si="3"/>
        <v>AU Bank</v>
      </c>
      <c r="C84">
        <v>453</v>
      </c>
      <c r="D84">
        <v>0</v>
      </c>
      <c r="E84">
        <v>1265</v>
      </c>
      <c r="F84" s="2">
        <v>524020.93</v>
      </c>
      <c r="G84" s="2">
        <v>448016.37</v>
      </c>
      <c r="H84" s="2">
        <v>14070</v>
      </c>
      <c r="I84" s="2">
        <v>477628.93</v>
      </c>
      <c r="J84" s="2">
        <v>45300</v>
      </c>
      <c r="K84" s="3">
        <v>45300</v>
      </c>
      <c r="L84" s="3">
        <v>0</v>
      </c>
      <c r="M84" s="3">
        <v>60842.559999999998</v>
      </c>
      <c r="N84" s="4" t="s">
        <v>53</v>
      </c>
      <c r="O84" s="3" t="str">
        <f t="shared" si="4"/>
        <v>Online</v>
      </c>
      <c r="P84" s="11">
        <v>8524000</v>
      </c>
      <c r="Q84" s="3">
        <v>5006300000</v>
      </c>
      <c r="R84" s="3">
        <v>3271600000</v>
      </c>
      <c r="S84" s="11">
        <v>12000000</v>
      </c>
    </row>
    <row r="85" spans="1:19" x14ac:dyDescent="0.35">
      <c r="A85" s="1" t="s">
        <v>21</v>
      </c>
      <c r="B85" s="1" t="str">
        <f t="shared" si="3"/>
        <v>AU Bank</v>
      </c>
      <c r="C85">
        <v>60</v>
      </c>
      <c r="D85">
        <v>0</v>
      </c>
      <c r="E85">
        <v>72</v>
      </c>
      <c r="F85" s="2">
        <v>35698.76</v>
      </c>
      <c r="G85" s="2">
        <v>30383</v>
      </c>
      <c r="H85" s="2">
        <v>4857</v>
      </c>
      <c r="I85" s="2">
        <v>29690.76</v>
      </c>
      <c r="J85" s="2">
        <v>6000</v>
      </c>
      <c r="K85" s="3">
        <v>4200</v>
      </c>
      <c r="L85" s="3">
        <v>1800</v>
      </c>
      <c r="M85" s="3">
        <v>450.76</v>
      </c>
      <c r="N85" s="4" t="s">
        <v>53</v>
      </c>
      <c r="O85" s="3" t="str">
        <f t="shared" si="4"/>
        <v>Online</v>
      </c>
      <c r="P85" s="11">
        <v>8524000</v>
      </c>
      <c r="Q85" s="3">
        <v>5006300000</v>
      </c>
      <c r="R85" s="3">
        <v>3271600000</v>
      </c>
      <c r="S85" s="11">
        <v>12000000</v>
      </c>
    </row>
    <row r="86" spans="1:19" x14ac:dyDescent="0.35">
      <c r="A86" s="1" t="s">
        <v>22</v>
      </c>
      <c r="B86" s="1" t="str">
        <f t="shared" si="3"/>
        <v>AU Bank</v>
      </c>
      <c r="C86">
        <v>880</v>
      </c>
      <c r="D86">
        <v>0</v>
      </c>
      <c r="E86">
        <v>2069</v>
      </c>
      <c r="F86" s="2">
        <v>626826.06000000006</v>
      </c>
      <c r="G86" s="2">
        <v>0</v>
      </c>
      <c r="H86" s="2">
        <v>626826.06000000006</v>
      </c>
      <c r="I86" s="2">
        <v>538826.06000000006</v>
      </c>
      <c r="J86" s="2">
        <v>88000</v>
      </c>
      <c r="K86" s="3">
        <v>61600</v>
      </c>
      <c r="L86" s="3">
        <v>26400</v>
      </c>
      <c r="M86" s="3">
        <v>0</v>
      </c>
      <c r="N86" s="4" t="s">
        <v>53</v>
      </c>
      <c r="O86" s="3" t="str">
        <f t="shared" si="4"/>
        <v>Offline - F&amp;B</v>
      </c>
      <c r="P86" s="11">
        <v>8524000</v>
      </c>
      <c r="Q86" s="3">
        <v>5006300000</v>
      </c>
      <c r="R86" s="3">
        <v>3271600000</v>
      </c>
      <c r="S86" s="11">
        <v>12000000</v>
      </c>
    </row>
    <row r="87" spans="1:19" x14ac:dyDescent="0.35">
      <c r="A87" s="1" t="s">
        <v>43</v>
      </c>
      <c r="B87" s="1" t="str">
        <f t="shared" si="3"/>
        <v>Axis Bank</v>
      </c>
      <c r="C87">
        <v>21</v>
      </c>
      <c r="D87">
        <v>21</v>
      </c>
      <c r="E87">
        <v>57</v>
      </c>
      <c r="F87" s="2">
        <v>18018.560000000001</v>
      </c>
      <c r="G87" s="2">
        <v>18018.560000000001</v>
      </c>
      <c r="H87" s="2">
        <v>0</v>
      </c>
      <c r="I87" s="2">
        <v>13918.78</v>
      </c>
      <c r="J87" s="2">
        <v>4099.78</v>
      </c>
      <c r="K87" s="3">
        <v>3607.81</v>
      </c>
      <c r="L87" s="3">
        <v>491.97</v>
      </c>
      <c r="M87" s="3">
        <v>0</v>
      </c>
      <c r="N87" s="4" t="s">
        <v>53</v>
      </c>
      <c r="O87" s="3" t="str">
        <f t="shared" si="4"/>
        <v>Offline - Box Office</v>
      </c>
      <c r="P87" s="11">
        <v>8524000</v>
      </c>
      <c r="Q87" s="3">
        <v>5006300000</v>
      </c>
      <c r="R87" s="3">
        <v>3271600000</v>
      </c>
      <c r="S87" s="11">
        <v>12000000</v>
      </c>
    </row>
    <row r="88" spans="1:19" x14ac:dyDescent="0.35">
      <c r="A88" s="1" t="s">
        <v>23</v>
      </c>
      <c r="B88" s="1" t="str">
        <f t="shared" si="3"/>
        <v>Axis Bank</v>
      </c>
      <c r="C88">
        <v>9</v>
      </c>
      <c r="D88">
        <v>9</v>
      </c>
      <c r="E88">
        <v>20</v>
      </c>
      <c r="F88" s="2">
        <v>8041.52</v>
      </c>
      <c r="G88" s="2">
        <v>6994</v>
      </c>
      <c r="H88" s="2">
        <v>0</v>
      </c>
      <c r="I88" s="2">
        <v>6236.52</v>
      </c>
      <c r="J88" s="2">
        <v>1777</v>
      </c>
      <c r="K88" s="3">
        <v>1510.45</v>
      </c>
      <c r="L88" s="3">
        <v>266.55</v>
      </c>
      <c r="M88" s="3">
        <v>1019.52</v>
      </c>
      <c r="N88" s="4" t="s">
        <v>53</v>
      </c>
      <c r="O88" s="3" t="str">
        <f t="shared" si="4"/>
        <v>Online</v>
      </c>
      <c r="P88" s="11">
        <v>8524000</v>
      </c>
      <c r="Q88" s="3">
        <v>5006300000</v>
      </c>
      <c r="R88" s="3">
        <v>3271600000</v>
      </c>
      <c r="S88" s="11">
        <v>12000000</v>
      </c>
    </row>
    <row r="89" spans="1:19" x14ac:dyDescent="0.35">
      <c r="A89" s="1" t="s">
        <v>44</v>
      </c>
      <c r="B89" s="1" t="str">
        <f t="shared" si="3"/>
        <v>Axis Bank</v>
      </c>
      <c r="C89">
        <v>251</v>
      </c>
      <c r="D89">
        <v>251</v>
      </c>
      <c r="E89">
        <v>633</v>
      </c>
      <c r="F89" s="2">
        <v>173752.04</v>
      </c>
      <c r="G89" s="2">
        <v>172562.04</v>
      </c>
      <c r="H89" s="2">
        <v>1190</v>
      </c>
      <c r="I89" s="2">
        <v>125843.94</v>
      </c>
      <c r="J89" s="2">
        <v>47908.1</v>
      </c>
      <c r="K89" s="3">
        <v>42159.12</v>
      </c>
      <c r="L89" s="3">
        <v>5748.98</v>
      </c>
      <c r="M89" s="3">
        <v>0</v>
      </c>
      <c r="N89" s="4" t="s">
        <v>53</v>
      </c>
      <c r="O89" s="3" t="str">
        <f t="shared" si="4"/>
        <v>Offline - Box Office</v>
      </c>
      <c r="P89" s="11">
        <v>8524000</v>
      </c>
      <c r="Q89" s="3">
        <v>5006300000</v>
      </c>
      <c r="R89" s="3">
        <v>3271600000</v>
      </c>
      <c r="S89" s="11">
        <v>12000000</v>
      </c>
    </row>
    <row r="90" spans="1:19" x14ac:dyDescent="0.35">
      <c r="A90" s="1" t="s">
        <v>24</v>
      </c>
      <c r="B90" s="1" t="str">
        <f t="shared" si="3"/>
        <v>Axis Bank</v>
      </c>
      <c r="C90">
        <v>641</v>
      </c>
      <c r="D90">
        <v>641</v>
      </c>
      <c r="E90">
        <v>1465</v>
      </c>
      <c r="F90" s="2">
        <v>426985.86</v>
      </c>
      <c r="G90" s="2">
        <v>372743.82</v>
      </c>
      <c r="H90" s="2">
        <v>880</v>
      </c>
      <c r="I90" s="2">
        <v>303507.06</v>
      </c>
      <c r="J90" s="2">
        <v>122246.8</v>
      </c>
      <c r="K90" s="3">
        <v>103909.62</v>
      </c>
      <c r="L90" s="3">
        <v>18337.2</v>
      </c>
      <c r="M90" s="3">
        <v>52130.04</v>
      </c>
      <c r="N90" s="4" t="s">
        <v>53</v>
      </c>
      <c r="O90" s="3" t="str">
        <f t="shared" si="4"/>
        <v>Online</v>
      </c>
      <c r="P90" s="11">
        <v>8524000</v>
      </c>
      <c r="Q90" s="3">
        <v>5006300000</v>
      </c>
      <c r="R90" s="3">
        <v>3271600000</v>
      </c>
      <c r="S90" s="11">
        <v>12000000</v>
      </c>
    </row>
    <row r="91" spans="1:19" x14ac:dyDescent="0.35">
      <c r="A91" s="1" t="s">
        <v>54</v>
      </c>
      <c r="B91" s="1" t="str">
        <f t="shared" si="3"/>
        <v>BOB Card</v>
      </c>
      <c r="C91">
        <v>1</v>
      </c>
      <c r="D91">
        <v>0</v>
      </c>
      <c r="E91">
        <v>2</v>
      </c>
      <c r="F91" s="2">
        <v>750</v>
      </c>
      <c r="G91" s="2">
        <v>750</v>
      </c>
      <c r="H91" s="2">
        <v>0</v>
      </c>
      <c r="I91" s="2">
        <v>675</v>
      </c>
      <c r="J91" s="2">
        <v>75</v>
      </c>
      <c r="K91" s="3">
        <v>52.5</v>
      </c>
      <c r="L91" s="3">
        <v>22.5</v>
      </c>
      <c r="M91" s="3">
        <v>0</v>
      </c>
      <c r="N91" s="4" t="s">
        <v>53</v>
      </c>
      <c r="O91" s="3" t="str">
        <f t="shared" si="4"/>
        <v>Online</v>
      </c>
      <c r="P91" s="11">
        <v>8524000</v>
      </c>
      <c r="Q91" s="3">
        <v>5006300000</v>
      </c>
      <c r="R91" s="3">
        <v>3271600000</v>
      </c>
      <c r="S91" s="11">
        <v>12000000</v>
      </c>
    </row>
    <row r="92" spans="1:19" x14ac:dyDescent="0.35">
      <c r="A92" s="1" t="s">
        <v>55</v>
      </c>
      <c r="B92" s="1" t="str">
        <f t="shared" si="3"/>
        <v>BOB Card</v>
      </c>
      <c r="C92">
        <v>119</v>
      </c>
      <c r="D92">
        <v>0</v>
      </c>
      <c r="E92">
        <v>436</v>
      </c>
      <c r="F92" s="2">
        <v>102846.06</v>
      </c>
      <c r="G92" s="2">
        <v>0</v>
      </c>
      <c r="H92" s="2">
        <v>102846.06</v>
      </c>
      <c r="I92" s="2">
        <v>92561.06</v>
      </c>
      <c r="J92" s="2">
        <v>10285</v>
      </c>
      <c r="K92" s="3">
        <v>7199.5</v>
      </c>
      <c r="L92" s="3">
        <v>3085.5</v>
      </c>
      <c r="M92" s="3">
        <v>0</v>
      </c>
      <c r="N92" s="4" t="s">
        <v>53</v>
      </c>
      <c r="O92" s="3" t="str">
        <f t="shared" si="4"/>
        <v>Offline - F&amp;B</v>
      </c>
      <c r="P92" s="11">
        <v>8524000</v>
      </c>
      <c r="Q92" s="3">
        <v>5006300000</v>
      </c>
      <c r="R92" s="3">
        <v>3271600000</v>
      </c>
      <c r="S92" s="11">
        <v>12000000</v>
      </c>
    </row>
    <row r="93" spans="1:19" x14ac:dyDescent="0.35">
      <c r="A93" s="1" t="s">
        <v>56</v>
      </c>
      <c r="B93" s="1" t="str">
        <f t="shared" si="3"/>
        <v>BOB Card</v>
      </c>
      <c r="C93">
        <v>182</v>
      </c>
      <c r="D93">
        <v>0</v>
      </c>
      <c r="E93">
        <v>460</v>
      </c>
      <c r="F93" s="2">
        <v>162179.07999999999</v>
      </c>
      <c r="G93" s="2">
        <v>141401.44</v>
      </c>
      <c r="H93" s="2">
        <v>380</v>
      </c>
      <c r="I93" s="2">
        <v>137642.07999999999</v>
      </c>
      <c r="J93" s="2">
        <v>24079</v>
      </c>
      <c r="K93" s="3">
        <v>21189.52</v>
      </c>
      <c r="L93" s="3">
        <v>2889.48</v>
      </c>
      <c r="M93" s="3">
        <v>19939.64</v>
      </c>
      <c r="N93" s="4" t="s">
        <v>53</v>
      </c>
      <c r="O93" s="3" t="str">
        <f t="shared" si="4"/>
        <v>Online</v>
      </c>
      <c r="P93" s="11">
        <v>8524000</v>
      </c>
      <c r="Q93" s="3">
        <v>5006300000</v>
      </c>
      <c r="R93" s="3">
        <v>3271600000</v>
      </c>
      <c r="S93" s="11">
        <v>12000000</v>
      </c>
    </row>
    <row r="94" spans="1:19" x14ac:dyDescent="0.35">
      <c r="A94" s="1" t="s">
        <v>25</v>
      </c>
      <c r="B94" s="1" t="str">
        <f t="shared" si="3"/>
        <v>Federal Bank</v>
      </c>
      <c r="C94">
        <v>404</v>
      </c>
      <c r="D94">
        <v>404</v>
      </c>
      <c r="E94">
        <v>1273</v>
      </c>
      <c r="F94" s="2">
        <v>293335.12</v>
      </c>
      <c r="G94" s="2">
        <v>275060.12</v>
      </c>
      <c r="H94" s="2">
        <v>18275</v>
      </c>
      <c r="I94" s="2">
        <v>252981.7</v>
      </c>
      <c r="J94" s="2">
        <v>40353.42</v>
      </c>
      <c r="K94" s="3">
        <v>40353.42</v>
      </c>
      <c r="L94" s="3">
        <v>0</v>
      </c>
      <c r="M94" s="3">
        <v>0</v>
      </c>
      <c r="N94" s="4" t="s">
        <v>53</v>
      </c>
      <c r="O94" s="3" t="str">
        <f t="shared" si="4"/>
        <v>Offline - Box Office</v>
      </c>
      <c r="P94" s="11">
        <v>8524000</v>
      </c>
      <c r="Q94" s="3">
        <v>5006300000</v>
      </c>
      <c r="R94" s="3">
        <v>3271600000</v>
      </c>
      <c r="S94" s="11">
        <v>12000000</v>
      </c>
    </row>
    <row r="95" spans="1:19" x14ac:dyDescent="0.35">
      <c r="A95" s="1" t="s">
        <v>26</v>
      </c>
      <c r="B95" s="1" t="str">
        <f t="shared" si="3"/>
        <v>Federal Bank</v>
      </c>
      <c r="C95">
        <v>169</v>
      </c>
      <c r="D95">
        <v>169</v>
      </c>
      <c r="E95">
        <v>416</v>
      </c>
      <c r="F95" s="2">
        <v>113807.87</v>
      </c>
      <c r="G95" s="2">
        <v>95508.97</v>
      </c>
      <c r="H95" s="2">
        <v>3250</v>
      </c>
      <c r="I95" s="2">
        <v>96837.3</v>
      </c>
      <c r="J95" s="2">
        <v>16618.57</v>
      </c>
      <c r="K95" s="3">
        <v>16618.57</v>
      </c>
      <c r="L95" s="3">
        <v>0</v>
      </c>
      <c r="M95" s="3">
        <v>14696.9</v>
      </c>
      <c r="N95" s="4" t="s">
        <v>53</v>
      </c>
      <c r="O95" s="3" t="str">
        <f t="shared" si="4"/>
        <v>Online</v>
      </c>
      <c r="P95" s="11">
        <v>8524000</v>
      </c>
      <c r="Q95" s="3">
        <v>5006300000</v>
      </c>
      <c r="R95" s="3">
        <v>3271600000</v>
      </c>
      <c r="S95" s="11">
        <v>12000000</v>
      </c>
    </row>
    <row r="96" spans="1:19" x14ac:dyDescent="0.35">
      <c r="A96" s="1" t="s">
        <v>27</v>
      </c>
      <c r="B96" s="1" t="str">
        <f t="shared" si="3"/>
        <v>Federal Bank</v>
      </c>
      <c r="C96">
        <v>19</v>
      </c>
      <c r="D96">
        <v>19</v>
      </c>
      <c r="E96">
        <v>55</v>
      </c>
      <c r="F96" s="2">
        <v>12992.98</v>
      </c>
      <c r="G96" s="2">
        <v>12992.98</v>
      </c>
      <c r="H96" s="2">
        <v>0</v>
      </c>
      <c r="I96" s="2">
        <v>11093.98</v>
      </c>
      <c r="J96" s="2">
        <v>1899</v>
      </c>
      <c r="K96" s="3">
        <v>1899</v>
      </c>
      <c r="L96" s="3">
        <v>0</v>
      </c>
      <c r="M96" s="3">
        <v>0</v>
      </c>
      <c r="N96" s="4" t="s">
        <v>53</v>
      </c>
      <c r="O96" s="3" t="str">
        <f t="shared" si="4"/>
        <v>Offline - Box Office</v>
      </c>
      <c r="P96" s="11">
        <v>8524000</v>
      </c>
      <c r="Q96" s="3">
        <v>5006300000</v>
      </c>
      <c r="R96" s="3">
        <v>3271600000</v>
      </c>
      <c r="S96" s="11">
        <v>12000000</v>
      </c>
    </row>
    <row r="97" spans="1:19" x14ac:dyDescent="0.35">
      <c r="A97" s="1" t="s">
        <v>28</v>
      </c>
      <c r="B97" s="1" t="str">
        <f t="shared" si="3"/>
        <v>Federal Bank</v>
      </c>
      <c r="C97">
        <v>10</v>
      </c>
      <c r="D97">
        <v>10</v>
      </c>
      <c r="E97">
        <v>23</v>
      </c>
      <c r="F97" s="2">
        <v>5186.6400000000003</v>
      </c>
      <c r="G97" s="2">
        <v>4431.66</v>
      </c>
      <c r="H97" s="2">
        <v>0</v>
      </c>
      <c r="I97" s="2">
        <v>4152.6400000000003</v>
      </c>
      <c r="J97" s="2">
        <v>1000</v>
      </c>
      <c r="K97" s="3">
        <v>1000</v>
      </c>
      <c r="L97" s="3">
        <v>0</v>
      </c>
      <c r="M97" s="3">
        <v>720.98</v>
      </c>
      <c r="N97" s="4" t="s">
        <v>53</v>
      </c>
      <c r="O97" s="3" t="str">
        <f t="shared" si="4"/>
        <v>Online</v>
      </c>
      <c r="P97" s="11">
        <v>8524000</v>
      </c>
      <c r="Q97" s="3">
        <v>5006300000</v>
      </c>
      <c r="R97" s="3">
        <v>3271600000</v>
      </c>
      <c r="S97" s="11">
        <v>12000000</v>
      </c>
    </row>
    <row r="98" spans="1:19" x14ac:dyDescent="0.35">
      <c r="A98" s="1" t="s">
        <v>29</v>
      </c>
      <c r="B98" s="1" t="str">
        <f t="shared" ref="B98:B129" si="5">IF(ISNUMBER(SEARCH("AXIS",A98)),"Axis Bank",
IF(ISNUMBER(SEARCH("HDFC",A98)),"HDFC Bank",
IF(ISNUMBER(SEARCH("ICICI",A98)),"ICICI Bank",
IF(ISNUMBER(SEARCH("AU",A98)),"AU Bank",
IF(ISNUMBER(SEARCH("KOTAK",A98)),"Kotak Mahindra Bank",
IF(ISNUMBER(SEARCH("SBI",A98)),"State Bank of India",
IF(ISNUMBER(SEARCH("HSBC",A98)),"HSBC",
IF(ISNUMBER(SEARCH("DBS",A98)),"DBS Bank",
IF(ISNUMBER(SEARCH("SCAPIA",A98)),"Scapia",
IF(ISNUMBER(SEARCH("STANDARD CHARTERED",A98)),"Standard Chartered Bank",
IF(ISNUMBER(SEARCH("IDBI",A98)),"IDBI Bank",
IF(ISNUMBER(SEARCH("J&amp;K",A98)),"J&amp;K Bank",
IF(ISNUMBER(SEARCH("JAMMU",A98)),"J&amp;K Bank",
IF(ISNUMBER(SEARCH("FEDERAL",A98)),"Federal Bank",
IF(ISNUMBER(SEARCH("BOBCARD",A98)),"BOB Card",
IF(ISNUMBER(SEARCH("BANK OF BARODA",A98)),"BOB Card",
IF(ISNUMBER(SEARCH("AMEX",A98)),"American Express",
IF(ISNUMBER(SEARCH("PLATINUM",A98)),"American Express",
IF(ISNUMBER(SEARCH("CENTURION",A98)),"American Express",
IF(ISNUMBER(SEARCH("VISA",A98)),"Visa",
IF(ISNUMBER(SEARCH("MASTERCARD",A98)),"Mastercard",
"")))))))))))))))))))))</f>
        <v>Federal Bank</v>
      </c>
      <c r="C98">
        <v>87</v>
      </c>
      <c r="D98">
        <v>87</v>
      </c>
      <c r="E98">
        <v>227</v>
      </c>
      <c r="F98" s="2">
        <v>56120.14</v>
      </c>
      <c r="G98" s="2">
        <v>55080.14</v>
      </c>
      <c r="H98" s="2">
        <v>1040</v>
      </c>
      <c r="I98" s="2">
        <v>47422.14</v>
      </c>
      <c r="J98" s="2">
        <v>8698</v>
      </c>
      <c r="K98" s="3">
        <v>8698</v>
      </c>
      <c r="L98" s="3">
        <v>0</v>
      </c>
      <c r="M98" s="3">
        <v>0</v>
      </c>
      <c r="N98" s="4" t="s">
        <v>53</v>
      </c>
      <c r="O98" s="3" t="str">
        <f t="shared" si="4"/>
        <v>Offline - Box Office</v>
      </c>
      <c r="P98" s="11">
        <v>8524000</v>
      </c>
      <c r="Q98" s="3">
        <v>5006300000</v>
      </c>
      <c r="R98" s="3">
        <v>3271600000</v>
      </c>
      <c r="S98" s="11">
        <v>12000000</v>
      </c>
    </row>
    <row r="99" spans="1:19" x14ac:dyDescent="0.35">
      <c r="A99" s="1" t="s">
        <v>30</v>
      </c>
      <c r="B99" s="1" t="str">
        <f t="shared" si="5"/>
        <v>Federal Bank</v>
      </c>
      <c r="C99">
        <v>28</v>
      </c>
      <c r="D99">
        <v>28</v>
      </c>
      <c r="E99">
        <v>70</v>
      </c>
      <c r="F99" s="2">
        <v>21107.66</v>
      </c>
      <c r="G99" s="2">
        <v>16992.54</v>
      </c>
      <c r="H99" s="2">
        <v>1520</v>
      </c>
      <c r="I99" s="2">
        <v>18247.66</v>
      </c>
      <c r="J99" s="2">
        <v>2800</v>
      </c>
      <c r="K99" s="3">
        <v>2800</v>
      </c>
      <c r="L99" s="3">
        <v>0</v>
      </c>
      <c r="M99" s="3">
        <v>2535.12</v>
      </c>
      <c r="N99" s="4" t="s">
        <v>53</v>
      </c>
      <c r="O99" s="3" t="str">
        <f t="shared" si="4"/>
        <v>Online</v>
      </c>
      <c r="P99" s="11">
        <v>8524000</v>
      </c>
      <c r="Q99" s="3">
        <v>5006300000</v>
      </c>
      <c r="R99" s="3">
        <v>3271600000</v>
      </c>
      <c r="S99" s="11">
        <v>12000000</v>
      </c>
    </row>
    <row r="100" spans="1:19" x14ac:dyDescent="0.35">
      <c r="A100" s="1" t="s">
        <v>32</v>
      </c>
      <c r="B100" s="1" t="str">
        <f t="shared" si="5"/>
        <v>ICICI Bank</v>
      </c>
      <c r="C100">
        <v>4028</v>
      </c>
      <c r="D100">
        <v>0</v>
      </c>
      <c r="E100">
        <v>11090</v>
      </c>
      <c r="F100" s="2">
        <v>2970277.53</v>
      </c>
      <c r="G100" s="2">
        <v>2950024.53</v>
      </c>
      <c r="H100" s="2">
        <v>20253</v>
      </c>
      <c r="I100" s="2">
        <v>2554046.5299999998</v>
      </c>
      <c r="J100" s="2">
        <v>416231</v>
      </c>
      <c r="K100" s="3">
        <v>366283.28</v>
      </c>
      <c r="L100" s="3">
        <v>49947.72</v>
      </c>
      <c r="M100" s="3">
        <v>0</v>
      </c>
      <c r="N100" s="4" t="s">
        <v>53</v>
      </c>
      <c r="O100" s="3" t="str">
        <f t="shared" si="4"/>
        <v>Offline - Box Office</v>
      </c>
      <c r="P100" s="11">
        <v>8524000</v>
      </c>
      <c r="Q100" s="3">
        <v>5006300000</v>
      </c>
      <c r="R100" s="3">
        <v>3271600000</v>
      </c>
      <c r="S100" s="11">
        <v>12000000</v>
      </c>
    </row>
    <row r="101" spans="1:19" x14ac:dyDescent="0.35">
      <c r="A101" s="1" t="s">
        <v>33</v>
      </c>
      <c r="B101" s="1" t="str">
        <f t="shared" si="5"/>
        <v>ICICI Bank</v>
      </c>
      <c r="C101">
        <v>1162</v>
      </c>
      <c r="D101">
        <v>0</v>
      </c>
      <c r="E101">
        <v>3148</v>
      </c>
      <c r="F101" s="2">
        <v>1017497.96</v>
      </c>
      <c r="G101" s="2">
        <v>867089.9</v>
      </c>
      <c r="H101" s="2">
        <v>27120</v>
      </c>
      <c r="I101" s="2">
        <v>891339.96</v>
      </c>
      <c r="J101" s="2">
        <v>123250</v>
      </c>
      <c r="K101" s="3">
        <v>104762.5</v>
      </c>
      <c r="L101" s="3">
        <v>18487.5</v>
      </c>
      <c r="M101" s="3">
        <v>120380.06</v>
      </c>
      <c r="N101" s="4" t="s">
        <v>53</v>
      </c>
      <c r="O101" s="3" t="str">
        <f t="shared" si="4"/>
        <v>Online</v>
      </c>
      <c r="P101" s="11">
        <v>8524000</v>
      </c>
      <c r="Q101" s="3">
        <v>5006300000</v>
      </c>
      <c r="R101" s="3">
        <v>3271600000</v>
      </c>
      <c r="S101" s="11">
        <v>12000000</v>
      </c>
    </row>
    <row r="102" spans="1:19" x14ac:dyDescent="0.35">
      <c r="A102" s="1" t="s">
        <v>34</v>
      </c>
      <c r="B102" s="1" t="str">
        <f t="shared" si="5"/>
        <v>ICICI Bank</v>
      </c>
      <c r="C102">
        <v>709</v>
      </c>
      <c r="D102">
        <v>0</v>
      </c>
      <c r="E102">
        <v>1964</v>
      </c>
      <c r="F102" s="2">
        <v>547593.96</v>
      </c>
      <c r="G102" s="2">
        <v>545665.96</v>
      </c>
      <c r="H102" s="2">
        <v>1928</v>
      </c>
      <c r="I102" s="2">
        <v>509359.96</v>
      </c>
      <c r="J102" s="2">
        <v>38234</v>
      </c>
      <c r="K102" s="3">
        <v>33645.919999999998</v>
      </c>
      <c r="L102" s="3">
        <v>4588.08</v>
      </c>
      <c r="M102" s="3">
        <v>0</v>
      </c>
      <c r="N102" s="4" t="s">
        <v>53</v>
      </c>
      <c r="O102" s="3" t="str">
        <f t="shared" si="4"/>
        <v>Offline - Box Office</v>
      </c>
      <c r="P102" s="11">
        <v>8524000</v>
      </c>
      <c r="Q102" s="3">
        <v>5006300000</v>
      </c>
      <c r="R102" s="3">
        <v>3271600000</v>
      </c>
      <c r="S102" s="11">
        <v>12000000</v>
      </c>
    </row>
    <row r="103" spans="1:19" x14ac:dyDescent="0.35">
      <c r="A103" s="1" t="s">
        <v>35</v>
      </c>
      <c r="B103" s="1" t="str">
        <f t="shared" si="5"/>
        <v>ICICI Bank</v>
      </c>
      <c r="C103">
        <v>175</v>
      </c>
      <c r="D103">
        <v>0</v>
      </c>
      <c r="E103">
        <v>507</v>
      </c>
      <c r="F103" s="2">
        <v>159591.06</v>
      </c>
      <c r="G103" s="2">
        <v>134439.14000000001</v>
      </c>
      <c r="H103" s="2">
        <v>5970</v>
      </c>
      <c r="I103" s="2">
        <v>149530.06</v>
      </c>
      <c r="J103" s="2">
        <v>9575</v>
      </c>
      <c r="K103" s="3">
        <v>8138.75</v>
      </c>
      <c r="L103" s="3">
        <v>1436.25</v>
      </c>
      <c r="M103" s="3">
        <v>18695.919999999998</v>
      </c>
      <c r="N103" s="4" t="s">
        <v>53</v>
      </c>
      <c r="O103" s="3" t="str">
        <f t="shared" si="4"/>
        <v>Online</v>
      </c>
      <c r="P103" s="11">
        <v>8524000</v>
      </c>
      <c r="Q103" s="3">
        <v>5006300000</v>
      </c>
      <c r="R103" s="3">
        <v>3271600000</v>
      </c>
      <c r="S103" s="11">
        <v>12000000</v>
      </c>
    </row>
    <row r="104" spans="1:19" x14ac:dyDescent="0.35">
      <c r="A104" s="1" t="s">
        <v>46</v>
      </c>
      <c r="B104" s="1" t="str">
        <f t="shared" si="5"/>
        <v>IDBI Bank</v>
      </c>
      <c r="C104">
        <v>16</v>
      </c>
      <c r="D104">
        <v>0</v>
      </c>
      <c r="E104">
        <v>40</v>
      </c>
      <c r="F104" s="2">
        <v>10757.73</v>
      </c>
      <c r="G104" s="2">
        <v>10757.73</v>
      </c>
      <c r="H104" s="2">
        <v>0</v>
      </c>
      <c r="I104" s="2">
        <v>9719.73</v>
      </c>
      <c r="J104" s="2">
        <v>1038</v>
      </c>
      <c r="K104" s="3">
        <v>1038</v>
      </c>
      <c r="L104" s="3">
        <v>0</v>
      </c>
      <c r="M104" s="3">
        <v>0</v>
      </c>
      <c r="N104" s="4" t="s">
        <v>53</v>
      </c>
      <c r="O104" s="3" t="str">
        <f t="shared" si="4"/>
        <v>Offline - Box Office</v>
      </c>
      <c r="P104" s="11">
        <v>8524000</v>
      </c>
      <c r="Q104" s="3">
        <v>5006300000</v>
      </c>
      <c r="R104" s="3">
        <v>3271600000</v>
      </c>
      <c r="S104" s="11">
        <v>12000000</v>
      </c>
    </row>
    <row r="105" spans="1:19" x14ac:dyDescent="0.35">
      <c r="A105" s="1" t="s">
        <v>36</v>
      </c>
      <c r="B105" s="1" t="str">
        <f t="shared" si="5"/>
        <v>IDBI Bank</v>
      </c>
      <c r="C105">
        <v>5</v>
      </c>
      <c r="D105">
        <v>0</v>
      </c>
      <c r="E105">
        <v>11</v>
      </c>
      <c r="F105" s="2">
        <v>3979.36</v>
      </c>
      <c r="G105" s="2">
        <v>3554</v>
      </c>
      <c r="H105" s="2">
        <v>0</v>
      </c>
      <c r="I105" s="2">
        <v>3594.36</v>
      </c>
      <c r="J105" s="2">
        <v>375</v>
      </c>
      <c r="K105" s="3">
        <v>375</v>
      </c>
      <c r="L105" s="3">
        <v>0</v>
      </c>
      <c r="M105" s="3">
        <v>415.36</v>
      </c>
      <c r="N105" s="4" t="s">
        <v>53</v>
      </c>
      <c r="O105" s="3" t="str">
        <f t="shared" si="4"/>
        <v>Online</v>
      </c>
      <c r="P105" s="11">
        <v>8524000</v>
      </c>
      <c r="Q105" s="3">
        <v>5006300000</v>
      </c>
      <c r="R105" s="3">
        <v>3271600000</v>
      </c>
      <c r="S105" s="11">
        <v>12000000</v>
      </c>
    </row>
    <row r="106" spans="1:19" x14ac:dyDescent="0.35">
      <c r="A106" s="1" t="s">
        <v>47</v>
      </c>
      <c r="B106" s="1" t="str">
        <f t="shared" si="5"/>
        <v>IDBI Bank</v>
      </c>
      <c r="C106">
        <v>10</v>
      </c>
      <c r="D106">
        <v>0</v>
      </c>
      <c r="E106">
        <v>18</v>
      </c>
      <c r="F106" s="2">
        <v>6627</v>
      </c>
      <c r="G106" s="2">
        <v>0</v>
      </c>
      <c r="H106" s="2">
        <v>6627</v>
      </c>
      <c r="I106" s="2">
        <v>5925</v>
      </c>
      <c r="J106" s="2">
        <v>702</v>
      </c>
      <c r="K106" s="3">
        <v>491.4</v>
      </c>
      <c r="L106" s="3">
        <v>210.6</v>
      </c>
      <c r="M106" s="3">
        <v>0</v>
      </c>
      <c r="N106" s="4" t="s">
        <v>53</v>
      </c>
      <c r="O106" s="3" t="str">
        <f t="shared" si="4"/>
        <v>Offline - F&amp;B</v>
      </c>
      <c r="P106" s="11">
        <v>8524000</v>
      </c>
      <c r="Q106" s="3">
        <v>5006300000</v>
      </c>
      <c r="R106" s="3">
        <v>3271600000</v>
      </c>
      <c r="S106" s="11">
        <v>12000000</v>
      </c>
    </row>
    <row r="107" spans="1:19" x14ac:dyDescent="0.35">
      <c r="A107" s="1" t="s">
        <v>48</v>
      </c>
      <c r="B107" s="1" t="str">
        <f t="shared" si="5"/>
        <v>IDBI Bank</v>
      </c>
      <c r="C107">
        <v>8</v>
      </c>
      <c r="D107">
        <v>0</v>
      </c>
      <c r="E107">
        <v>20</v>
      </c>
      <c r="F107" s="2">
        <v>5080</v>
      </c>
      <c r="G107" s="2">
        <v>5080</v>
      </c>
      <c r="H107" s="2">
        <v>0</v>
      </c>
      <c r="I107" s="2">
        <v>4075</v>
      </c>
      <c r="J107" s="2">
        <v>1005</v>
      </c>
      <c r="K107" s="3">
        <v>1005</v>
      </c>
      <c r="L107" s="3">
        <v>0</v>
      </c>
      <c r="M107" s="3">
        <v>0</v>
      </c>
      <c r="N107" s="4" t="s">
        <v>53</v>
      </c>
      <c r="O107" s="3" t="str">
        <f t="shared" si="4"/>
        <v>Offline - Box Office</v>
      </c>
      <c r="P107" s="11">
        <v>8524000</v>
      </c>
      <c r="Q107" s="3">
        <v>5006300000</v>
      </c>
      <c r="R107" s="3">
        <v>3271600000</v>
      </c>
      <c r="S107" s="11">
        <v>12000000</v>
      </c>
    </row>
    <row r="108" spans="1:19" x14ac:dyDescent="0.35">
      <c r="A108" s="1" t="s">
        <v>37</v>
      </c>
      <c r="B108" s="1" t="str">
        <f t="shared" si="5"/>
        <v>IDBI Bank</v>
      </c>
      <c r="C108">
        <v>3</v>
      </c>
      <c r="D108">
        <v>0</v>
      </c>
      <c r="E108">
        <v>5</v>
      </c>
      <c r="F108" s="2">
        <v>1746.78</v>
      </c>
      <c r="G108" s="2">
        <v>1545</v>
      </c>
      <c r="H108" s="2">
        <v>0</v>
      </c>
      <c r="I108" s="2">
        <v>1410.78</v>
      </c>
      <c r="J108" s="2">
        <v>336</v>
      </c>
      <c r="K108" s="3">
        <v>336</v>
      </c>
      <c r="L108" s="3">
        <v>0</v>
      </c>
      <c r="M108" s="3">
        <v>201.78</v>
      </c>
      <c r="N108" s="4" t="s">
        <v>53</v>
      </c>
      <c r="O108" s="3" t="str">
        <f t="shared" si="4"/>
        <v>Online</v>
      </c>
      <c r="P108" s="11">
        <v>8524000</v>
      </c>
      <c r="Q108" s="3">
        <v>5006300000</v>
      </c>
      <c r="R108" s="3">
        <v>3271600000</v>
      </c>
      <c r="S108" s="11">
        <v>12000000</v>
      </c>
    </row>
    <row r="109" spans="1:19" x14ac:dyDescent="0.35">
      <c r="A109" s="1" t="s">
        <v>49</v>
      </c>
      <c r="B109" s="1" t="str">
        <f t="shared" si="5"/>
        <v>IDBI Bank</v>
      </c>
      <c r="C109">
        <v>6</v>
      </c>
      <c r="D109">
        <v>0</v>
      </c>
      <c r="E109">
        <v>21</v>
      </c>
      <c r="F109" s="2">
        <v>6650</v>
      </c>
      <c r="G109" s="2">
        <v>0</v>
      </c>
      <c r="H109" s="2">
        <v>6650</v>
      </c>
      <c r="I109" s="2">
        <v>5835</v>
      </c>
      <c r="J109" s="2">
        <v>815</v>
      </c>
      <c r="K109" s="3">
        <v>570.5</v>
      </c>
      <c r="L109" s="3">
        <v>244.5</v>
      </c>
      <c r="M109" s="3">
        <v>0</v>
      </c>
      <c r="N109" s="4" t="s">
        <v>53</v>
      </c>
      <c r="O109" s="3" t="str">
        <f t="shared" si="4"/>
        <v>Offline - F&amp;B</v>
      </c>
      <c r="P109" s="11">
        <v>8524000</v>
      </c>
      <c r="Q109" s="3">
        <v>5006300000</v>
      </c>
      <c r="R109" s="3">
        <v>3271600000</v>
      </c>
      <c r="S109" s="11">
        <v>12000000</v>
      </c>
    </row>
    <row r="110" spans="1:19" x14ac:dyDescent="0.35">
      <c r="A110" s="1" t="s">
        <v>51</v>
      </c>
      <c r="B110" s="1" t="str">
        <f t="shared" si="5"/>
        <v>Kotak Mahindra Bank</v>
      </c>
      <c r="C110">
        <v>69</v>
      </c>
      <c r="D110">
        <v>0</v>
      </c>
      <c r="E110">
        <v>149</v>
      </c>
      <c r="F110" s="2">
        <v>125026.52</v>
      </c>
      <c r="G110" s="2">
        <v>111360</v>
      </c>
      <c r="H110" s="2">
        <v>1100</v>
      </c>
      <c r="I110" s="2">
        <v>100777.52</v>
      </c>
      <c r="J110" s="2">
        <v>24089</v>
      </c>
      <c r="K110" s="3">
        <v>19271.2</v>
      </c>
      <c r="L110" s="3">
        <v>4817.8</v>
      </c>
      <c r="M110" s="3">
        <v>12406.52</v>
      </c>
      <c r="N110" s="4" t="s">
        <v>53</v>
      </c>
      <c r="O110" s="3" t="str">
        <f t="shared" si="4"/>
        <v>Online</v>
      </c>
      <c r="P110" s="11">
        <v>8524000</v>
      </c>
      <c r="Q110" s="3">
        <v>5006300000</v>
      </c>
      <c r="R110" s="3">
        <v>3271600000</v>
      </c>
      <c r="S110" s="11">
        <v>12000000</v>
      </c>
    </row>
    <row r="111" spans="1:19" x14ac:dyDescent="0.35">
      <c r="A111" s="1" t="s">
        <v>52</v>
      </c>
      <c r="B111" s="1" t="str">
        <f t="shared" si="5"/>
        <v>Kotak Mahindra Bank</v>
      </c>
      <c r="C111">
        <v>27</v>
      </c>
      <c r="D111">
        <v>27</v>
      </c>
      <c r="E111">
        <v>57</v>
      </c>
      <c r="F111" s="2">
        <v>54229.599999999999</v>
      </c>
      <c r="G111" s="2">
        <v>48690</v>
      </c>
      <c r="H111" s="2">
        <v>1090</v>
      </c>
      <c r="I111" s="2">
        <v>35119.599999999999</v>
      </c>
      <c r="J111" s="2">
        <v>19050</v>
      </c>
      <c r="K111" s="3">
        <v>19050</v>
      </c>
      <c r="L111" s="3">
        <v>0</v>
      </c>
      <c r="M111" s="3">
        <v>4389.6000000000004</v>
      </c>
      <c r="N111" s="4" t="s">
        <v>53</v>
      </c>
      <c r="O111" s="3" t="str">
        <f t="shared" si="4"/>
        <v>Online</v>
      </c>
      <c r="P111" s="11">
        <v>8524000</v>
      </c>
      <c r="Q111" s="3">
        <v>5006300000</v>
      </c>
      <c r="R111" s="3">
        <v>3271600000</v>
      </c>
      <c r="S111" s="11">
        <v>12000000</v>
      </c>
    </row>
    <row r="112" spans="1:19" x14ac:dyDescent="0.35">
      <c r="A112" s="1" t="s">
        <v>38</v>
      </c>
      <c r="B112" s="1" t="str">
        <f t="shared" si="5"/>
        <v>Kotak Mahindra Bank</v>
      </c>
      <c r="C112">
        <v>51</v>
      </c>
      <c r="D112">
        <v>0</v>
      </c>
      <c r="E112">
        <v>92</v>
      </c>
      <c r="F112" s="2">
        <v>19232</v>
      </c>
      <c r="G112" s="2">
        <v>1150</v>
      </c>
      <c r="H112" s="2">
        <v>18082</v>
      </c>
      <c r="I112" s="2">
        <v>15383</v>
      </c>
      <c r="J112" s="2">
        <v>3849</v>
      </c>
      <c r="K112" s="3">
        <v>0</v>
      </c>
      <c r="L112" s="3">
        <v>3849</v>
      </c>
      <c r="M112" s="3">
        <v>0</v>
      </c>
      <c r="N112" s="4" t="s">
        <v>53</v>
      </c>
      <c r="O112" s="3" t="str">
        <f t="shared" si="4"/>
        <v>Other</v>
      </c>
      <c r="P112" s="11">
        <v>8524000</v>
      </c>
      <c r="Q112" s="3">
        <v>5006300000</v>
      </c>
      <c r="R112" s="3">
        <v>3271600000</v>
      </c>
      <c r="S112" s="11">
        <v>12000000</v>
      </c>
    </row>
    <row r="113" spans="1:19" x14ac:dyDescent="0.35">
      <c r="A113" s="1" t="s">
        <v>57</v>
      </c>
      <c r="B113" s="1" t="str">
        <f t="shared" si="5"/>
        <v>Kotak Mahindra Bank</v>
      </c>
      <c r="C113">
        <v>12932</v>
      </c>
      <c r="D113">
        <v>0</v>
      </c>
      <c r="E113">
        <v>30144</v>
      </c>
      <c r="F113" s="2">
        <v>7288560.8099999996</v>
      </c>
      <c r="G113" s="2">
        <v>381648.35</v>
      </c>
      <c r="H113" s="2">
        <v>6897246.5199999996</v>
      </c>
      <c r="I113" s="2">
        <v>5547538.8099999996</v>
      </c>
      <c r="J113" s="2">
        <v>1740776</v>
      </c>
      <c r="K113" s="3">
        <v>0</v>
      </c>
      <c r="L113" s="3">
        <v>1740776</v>
      </c>
      <c r="M113" s="3">
        <v>9419.94</v>
      </c>
      <c r="N113" s="4" t="s">
        <v>53</v>
      </c>
      <c r="O113" s="3" t="str">
        <f t="shared" si="4"/>
        <v>Other</v>
      </c>
      <c r="P113" s="11">
        <v>8524000</v>
      </c>
      <c r="Q113" s="3">
        <v>5006300000</v>
      </c>
      <c r="R113" s="3">
        <v>3271600000</v>
      </c>
      <c r="S113" s="11">
        <v>12000000</v>
      </c>
    </row>
    <row r="114" spans="1:19" x14ac:dyDescent="0.35">
      <c r="A114" s="1" t="s">
        <v>39</v>
      </c>
      <c r="B114" s="1" t="str">
        <f t="shared" si="5"/>
        <v>Kotak Mahindra Bank</v>
      </c>
      <c r="C114">
        <v>29</v>
      </c>
      <c r="D114">
        <v>0</v>
      </c>
      <c r="E114">
        <v>75</v>
      </c>
      <c r="F114" s="2">
        <v>21131.68</v>
      </c>
      <c r="G114" s="2">
        <v>19453.12</v>
      </c>
      <c r="H114" s="2">
        <v>0</v>
      </c>
      <c r="I114" s="2">
        <v>20122.68</v>
      </c>
      <c r="J114" s="2">
        <v>973</v>
      </c>
      <c r="K114" s="3">
        <v>0</v>
      </c>
      <c r="L114" s="3">
        <v>973</v>
      </c>
      <c r="M114" s="3">
        <v>1642.56</v>
      </c>
      <c r="N114" s="4" t="s">
        <v>53</v>
      </c>
      <c r="O114" s="3" t="str">
        <f t="shared" si="4"/>
        <v>Other</v>
      </c>
      <c r="P114" s="11">
        <v>8524000</v>
      </c>
      <c r="Q114" s="3">
        <v>5006300000</v>
      </c>
      <c r="R114" s="3">
        <v>3271600000</v>
      </c>
      <c r="S114" s="11">
        <v>12000000</v>
      </c>
    </row>
    <row r="115" spans="1:19" x14ac:dyDescent="0.35">
      <c r="A115" s="1" t="s">
        <v>58</v>
      </c>
      <c r="B115" s="1" t="str">
        <f t="shared" si="5"/>
        <v>Kotak Mahindra Bank</v>
      </c>
      <c r="C115">
        <v>3443</v>
      </c>
      <c r="D115">
        <v>0</v>
      </c>
      <c r="E115">
        <v>8536</v>
      </c>
      <c r="F115" s="2">
        <v>2608104.37</v>
      </c>
      <c r="G115" s="2">
        <v>2441656.4700000002</v>
      </c>
      <c r="H115" s="2">
        <v>2684</v>
      </c>
      <c r="I115" s="2">
        <v>2523321.5</v>
      </c>
      <c r="J115" s="2">
        <v>81977</v>
      </c>
      <c r="K115" s="3">
        <v>0</v>
      </c>
      <c r="L115" s="3">
        <v>81977</v>
      </c>
      <c r="M115" s="3">
        <v>160957.9</v>
      </c>
      <c r="N115" s="4" t="s">
        <v>53</v>
      </c>
      <c r="O115" s="3" t="str">
        <f t="shared" si="4"/>
        <v>Other</v>
      </c>
      <c r="P115" s="11">
        <v>8524000</v>
      </c>
      <c r="Q115" s="3">
        <v>5006300000</v>
      </c>
      <c r="R115" s="3">
        <v>3271600000</v>
      </c>
      <c r="S115" s="11">
        <v>12000000</v>
      </c>
    </row>
    <row r="116" spans="1:19" x14ac:dyDescent="0.35">
      <c r="A116" s="1" t="s">
        <v>40</v>
      </c>
      <c r="B116" s="1" t="str">
        <f t="shared" si="5"/>
        <v>Standard Chartered Bank</v>
      </c>
      <c r="C116">
        <v>25</v>
      </c>
      <c r="D116">
        <v>25</v>
      </c>
      <c r="E116">
        <v>74</v>
      </c>
      <c r="F116" s="2">
        <v>17168.919999999998</v>
      </c>
      <c r="G116" s="2">
        <v>17168.919999999998</v>
      </c>
      <c r="H116" s="2">
        <v>0</v>
      </c>
      <c r="I116" s="2">
        <v>12384.14</v>
      </c>
      <c r="J116" s="2">
        <v>4784.78</v>
      </c>
      <c r="K116" s="3">
        <v>4784.78</v>
      </c>
      <c r="L116" s="3">
        <v>0</v>
      </c>
      <c r="M116" s="3">
        <v>0</v>
      </c>
      <c r="N116" s="4" t="s">
        <v>53</v>
      </c>
      <c r="O116" s="3" t="str">
        <f t="shared" si="4"/>
        <v>Offline - Box Office</v>
      </c>
      <c r="P116" s="11">
        <v>8524000</v>
      </c>
      <c r="Q116" s="3">
        <v>5006300000</v>
      </c>
      <c r="R116" s="3">
        <v>3271600000</v>
      </c>
      <c r="S116" s="11">
        <v>12000000</v>
      </c>
    </row>
    <row r="117" spans="1:19" x14ac:dyDescent="0.35">
      <c r="A117" s="1" t="s">
        <v>41</v>
      </c>
      <c r="B117" s="1" t="str">
        <f t="shared" si="5"/>
        <v>Standard Chartered Bank</v>
      </c>
      <c r="C117">
        <v>112</v>
      </c>
      <c r="D117">
        <v>112</v>
      </c>
      <c r="E117">
        <v>236</v>
      </c>
      <c r="F117" s="2">
        <v>75559.600000000006</v>
      </c>
      <c r="G117" s="2">
        <v>65807.28</v>
      </c>
      <c r="H117" s="2">
        <v>510</v>
      </c>
      <c r="I117" s="2">
        <v>53598.48</v>
      </c>
      <c r="J117" s="2">
        <v>21833.119999999999</v>
      </c>
      <c r="K117" s="3">
        <v>21833.119999999999</v>
      </c>
      <c r="L117" s="3">
        <v>0</v>
      </c>
      <c r="M117" s="3">
        <v>9114.32</v>
      </c>
      <c r="N117" s="4" t="s">
        <v>53</v>
      </c>
      <c r="O117" s="3" t="str">
        <f t="shared" si="4"/>
        <v>Online</v>
      </c>
      <c r="P117" s="11">
        <v>8524000</v>
      </c>
      <c r="Q117" s="3">
        <v>5006300000</v>
      </c>
      <c r="R117" s="3">
        <v>3271600000</v>
      </c>
      <c r="S117" s="11">
        <v>12000000</v>
      </c>
    </row>
    <row r="118" spans="1:19" x14ac:dyDescent="0.35">
      <c r="A118" s="1" t="s">
        <v>59</v>
      </c>
      <c r="B118" s="1" t="str">
        <f t="shared" si="5"/>
        <v>AU Bank</v>
      </c>
      <c r="C118">
        <v>1</v>
      </c>
      <c r="D118">
        <v>0</v>
      </c>
      <c r="E118">
        <v>2</v>
      </c>
      <c r="F118" s="2">
        <v>560</v>
      </c>
      <c r="G118" s="2">
        <v>560</v>
      </c>
      <c r="H118" s="2">
        <v>0</v>
      </c>
      <c r="I118" s="2">
        <v>460</v>
      </c>
      <c r="J118" s="2">
        <v>100</v>
      </c>
      <c r="K118" s="3">
        <v>100</v>
      </c>
      <c r="L118" s="3">
        <v>0</v>
      </c>
      <c r="M118" s="3">
        <v>0</v>
      </c>
      <c r="N118" s="4" t="s">
        <v>60</v>
      </c>
      <c r="O118" s="3" t="str">
        <f t="shared" si="4"/>
        <v>Offline - Box Office</v>
      </c>
      <c r="P118" s="11">
        <v>9803000</v>
      </c>
      <c r="Q118" s="3">
        <v>5989200000</v>
      </c>
      <c r="R118" s="3">
        <v>3960500000</v>
      </c>
      <c r="S118" s="11">
        <v>14500000</v>
      </c>
    </row>
    <row r="119" spans="1:19" x14ac:dyDescent="0.35">
      <c r="A119" s="1" t="s">
        <v>19</v>
      </c>
      <c r="B119" s="1" t="str">
        <f t="shared" si="5"/>
        <v>AU Bank</v>
      </c>
      <c r="C119">
        <v>602</v>
      </c>
      <c r="D119">
        <v>0</v>
      </c>
      <c r="E119">
        <v>1722</v>
      </c>
      <c r="F119" s="2">
        <v>690235.2</v>
      </c>
      <c r="G119" s="2">
        <v>592916.92000000004</v>
      </c>
      <c r="H119" s="2">
        <v>13845</v>
      </c>
      <c r="I119" s="2">
        <v>628457.19999999995</v>
      </c>
      <c r="J119" s="2">
        <v>60200</v>
      </c>
      <c r="K119" s="3">
        <v>60200</v>
      </c>
      <c r="L119" s="3">
        <v>0</v>
      </c>
      <c r="M119" s="3">
        <v>81895.28</v>
      </c>
      <c r="N119" s="4" t="s">
        <v>60</v>
      </c>
      <c r="O119" s="3" t="str">
        <f t="shared" si="4"/>
        <v>Online</v>
      </c>
      <c r="P119" s="11">
        <v>9803000</v>
      </c>
      <c r="Q119" s="3">
        <v>5989200000</v>
      </c>
      <c r="R119" s="3">
        <v>3960500000</v>
      </c>
      <c r="S119" s="11">
        <v>14500000</v>
      </c>
    </row>
    <row r="120" spans="1:19" x14ac:dyDescent="0.35">
      <c r="A120" s="1" t="s">
        <v>21</v>
      </c>
      <c r="B120" s="1" t="str">
        <f t="shared" si="5"/>
        <v>AU Bank</v>
      </c>
      <c r="C120">
        <v>123</v>
      </c>
      <c r="D120">
        <v>0</v>
      </c>
      <c r="E120">
        <v>145</v>
      </c>
      <c r="F120" s="2">
        <v>69379.06</v>
      </c>
      <c r="G120" s="2">
        <v>64687.68</v>
      </c>
      <c r="H120" s="2">
        <v>4090</v>
      </c>
      <c r="I120" s="2">
        <v>57057.06</v>
      </c>
      <c r="J120" s="2">
        <v>12300</v>
      </c>
      <c r="K120" s="3">
        <v>8610</v>
      </c>
      <c r="L120" s="3">
        <v>3690</v>
      </c>
      <c r="M120" s="3">
        <v>579.38</v>
      </c>
      <c r="N120" s="4" t="s">
        <v>60</v>
      </c>
      <c r="O120" s="3" t="str">
        <f t="shared" si="4"/>
        <v>Online</v>
      </c>
      <c r="P120" s="11">
        <v>9803000</v>
      </c>
      <c r="Q120" s="3">
        <v>5989200000</v>
      </c>
      <c r="R120" s="3">
        <v>3960500000</v>
      </c>
      <c r="S120" s="11">
        <v>14500000</v>
      </c>
    </row>
    <row r="121" spans="1:19" x14ac:dyDescent="0.35">
      <c r="A121" s="1" t="s">
        <v>22</v>
      </c>
      <c r="B121" s="1" t="str">
        <f t="shared" si="5"/>
        <v>AU Bank</v>
      </c>
      <c r="C121">
        <v>1076</v>
      </c>
      <c r="D121">
        <v>0</v>
      </c>
      <c r="E121">
        <v>2642</v>
      </c>
      <c r="F121" s="2">
        <v>795327.58</v>
      </c>
      <c r="G121" s="2">
        <v>0</v>
      </c>
      <c r="H121" s="2">
        <v>795327.58</v>
      </c>
      <c r="I121" s="2">
        <v>687727.58</v>
      </c>
      <c r="J121" s="2">
        <v>107600</v>
      </c>
      <c r="K121" s="3">
        <v>75320</v>
      </c>
      <c r="L121" s="3">
        <v>32280</v>
      </c>
      <c r="M121" s="3">
        <v>0</v>
      </c>
      <c r="N121" s="4" t="s">
        <v>60</v>
      </c>
      <c r="O121" s="3" t="str">
        <f t="shared" si="4"/>
        <v>Offline - F&amp;B</v>
      </c>
      <c r="P121" s="11">
        <v>9803000</v>
      </c>
      <c r="Q121" s="3">
        <v>5989200000</v>
      </c>
      <c r="R121" s="3">
        <v>3960500000</v>
      </c>
      <c r="S121" s="11">
        <v>14500000</v>
      </c>
    </row>
    <row r="122" spans="1:19" x14ac:dyDescent="0.35">
      <c r="A122" s="1" t="s">
        <v>43</v>
      </c>
      <c r="B122" s="1" t="str">
        <f t="shared" si="5"/>
        <v>Axis Bank</v>
      </c>
      <c r="C122">
        <v>12</v>
      </c>
      <c r="D122">
        <v>12</v>
      </c>
      <c r="E122">
        <v>37</v>
      </c>
      <c r="F122" s="2">
        <v>12271</v>
      </c>
      <c r="G122" s="2">
        <v>12271</v>
      </c>
      <c r="H122" s="2">
        <v>0</v>
      </c>
      <c r="I122" s="2">
        <v>9905</v>
      </c>
      <c r="J122" s="2">
        <v>2366</v>
      </c>
      <c r="K122" s="3">
        <v>2082.08</v>
      </c>
      <c r="L122" s="3">
        <v>283.92</v>
      </c>
      <c r="M122" s="3">
        <v>0</v>
      </c>
      <c r="N122" s="4" t="s">
        <v>60</v>
      </c>
      <c r="O122" s="3" t="str">
        <f t="shared" si="4"/>
        <v>Offline - Box Office</v>
      </c>
      <c r="P122" s="11">
        <v>9803000</v>
      </c>
      <c r="Q122" s="3">
        <v>5989200000</v>
      </c>
      <c r="R122" s="3">
        <v>3960500000</v>
      </c>
      <c r="S122" s="11">
        <v>14500000</v>
      </c>
    </row>
    <row r="123" spans="1:19" x14ac:dyDescent="0.35">
      <c r="A123" s="1" t="s">
        <v>23</v>
      </c>
      <c r="B123" s="1" t="str">
        <f t="shared" si="5"/>
        <v>Axis Bank</v>
      </c>
      <c r="C123">
        <v>26</v>
      </c>
      <c r="D123">
        <v>26</v>
      </c>
      <c r="E123">
        <v>73</v>
      </c>
      <c r="F123" s="2">
        <v>22104.04</v>
      </c>
      <c r="G123" s="2">
        <v>18574.560000000001</v>
      </c>
      <c r="H123" s="2">
        <v>760</v>
      </c>
      <c r="I123" s="2">
        <v>17205.04</v>
      </c>
      <c r="J123" s="2">
        <v>4827</v>
      </c>
      <c r="K123" s="3">
        <v>4102.95</v>
      </c>
      <c r="L123" s="3">
        <v>724.05</v>
      </c>
      <c r="M123" s="3">
        <v>2697.48</v>
      </c>
      <c r="N123" s="4" t="s">
        <v>60</v>
      </c>
      <c r="O123" s="3" t="str">
        <f t="shared" si="4"/>
        <v>Online</v>
      </c>
      <c r="P123" s="11">
        <v>9803000</v>
      </c>
      <c r="Q123" s="3">
        <v>5989200000</v>
      </c>
      <c r="R123" s="3">
        <v>3960500000</v>
      </c>
      <c r="S123" s="11">
        <v>14500000</v>
      </c>
    </row>
    <row r="124" spans="1:19" x14ac:dyDescent="0.35">
      <c r="A124" s="1" t="s">
        <v>44</v>
      </c>
      <c r="B124" s="1" t="str">
        <f t="shared" si="5"/>
        <v>Axis Bank</v>
      </c>
      <c r="C124">
        <v>172</v>
      </c>
      <c r="D124">
        <v>172</v>
      </c>
      <c r="E124">
        <v>471</v>
      </c>
      <c r="F124" s="2">
        <v>133759.67999999999</v>
      </c>
      <c r="G124" s="2">
        <v>133209.68</v>
      </c>
      <c r="H124" s="2">
        <v>550</v>
      </c>
      <c r="I124" s="2">
        <v>101066.1</v>
      </c>
      <c r="J124" s="2">
        <v>32693.58</v>
      </c>
      <c r="K124" s="3">
        <v>28770.39</v>
      </c>
      <c r="L124" s="3">
        <v>3923.19</v>
      </c>
      <c r="M124" s="3">
        <v>0</v>
      </c>
      <c r="N124" s="4" t="s">
        <v>60</v>
      </c>
      <c r="O124" s="3" t="str">
        <f t="shared" si="4"/>
        <v>Offline - Box Office</v>
      </c>
      <c r="P124" s="11">
        <v>9803000</v>
      </c>
      <c r="Q124" s="3">
        <v>5989200000</v>
      </c>
      <c r="R124" s="3">
        <v>3960500000</v>
      </c>
      <c r="S124" s="11">
        <v>14500000</v>
      </c>
    </row>
    <row r="125" spans="1:19" x14ac:dyDescent="0.35">
      <c r="A125" s="1" t="s">
        <v>24</v>
      </c>
      <c r="B125" s="1" t="str">
        <f t="shared" si="5"/>
        <v>Axis Bank</v>
      </c>
      <c r="C125">
        <v>942</v>
      </c>
      <c r="D125">
        <v>942</v>
      </c>
      <c r="E125">
        <v>2191</v>
      </c>
      <c r="F125" s="2">
        <v>661471.87</v>
      </c>
      <c r="G125" s="2">
        <v>572199.09</v>
      </c>
      <c r="H125" s="2">
        <v>5950</v>
      </c>
      <c r="I125" s="2">
        <v>480539</v>
      </c>
      <c r="J125" s="2">
        <v>179100.87</v>
      </c>
      <c r="K125" s="3">
        <v>152235.47</v>
      </c>
      <c r="L125" s="3">
        <v>26865.4</v>
      </c>
      <c r="M125" s="3">
        <v>81490.78</v>
      </c>
      <c r="N125" s="4" t="s">
        <v>60</v>
      </c>
      <c r="O125" s="3" t="str">
        <f t="shared" si="4"/>
        <v>Online</v>
      </c>
      <c r="P125" s="11">
        <v>9803000</v>
      </c>
      <c r="Q125" s="3">
        <v>5989200000</v>
      </c>
      <c r="R125" s="3">
        <v>3960500000</v>
      </c>
      <c r="S125" s="11">
        <v>14500000</v>
      </c>
    </row>
    <row r="126" spans="1:19" x14ac:dyDescent="0.35">
      <c r="A126" s="1" t="s">
        <v>54</v>
      </c>
      <c r="B126" s="1" t="str">
        <f t="shared" si="5"/>
        <v>BOB Card</v>
      </c>
      <c r="C126">
        <v>25</v>
      </c>
      <c r="D126">
        <v>0</v>
      </c>
      <c r="E126">
        <v>45</v>
      </c>
      <c r="F126" s="2">
        <v>28244.2</v>
      </c>
      <c r="G126" s="2">
        <v>23675.68</v>
      </c>
      <c r="H126" s="2">
        <v>3950</v>
      </c>
      <c r="I126" s="2">
        <v>25934.2</v>
      </c>
      <c r="J126" s="2">
        <v>2298</v>
      </c>
      <c r="K126" s="3">
        <v>1608.6</v>
      </c>
      <c r="L126" s="3">
        <v>689.4</v>
      </c>
      <c r="M126" s="3">
        <v>606.52</v>
      </c>
      <c r="N126" s="4" t="s">
        <v>60</v>
      </c>
      <c r="O126" s="3" t="str">
        <f t="shared" si="4"/>
        <v>Online</v>
      </c>
      <c r="P126" s="11">
        <v>9803000</v>
      </c>
      <c r="Q126" s="3">
        <v>5989200000</v>
      </c>
      <c r="R126" s="3">
        <v>3960500000</v>
      </c>
      <c r="S126" s="11">
        <v>14500000</v>
      </c>
    </row>
    <row r="127" spans="1:19" x14ac:dyDescent="0.35">
      <c r="A127" s="1" t="s">
        <v>55</v>
      </c>
      <c r="B127" s="1" t="str">
        <f t="shared" si="5"/>
        <v>BOB Card</v>
      </c>
      <c r="C127">
        <v>562</v>
      </c>
      <c r="D127">
        <v>0</v>
      </c>
      <c r="E127">
        <v>1899</v>
      </c>
      <c r="F127" s="2">
        <v>528677.85</v>
      </c>
      <c r="G127" s="2">
        <v>0</v>
      </c>
      <c r="H127" s="2">
        <v>528677.85</v>
      </c>
      <c r="I127" s="2">
        <v>476922.85</v>
      </c>
      <c r="J127" s="2">
        <v>51755</v>
      </c>
      <c r="K127" s="3">
        <v>36228.5</v>
      </c>
      <c r="L127" s="3">
        <v>15526.5</v>
      </c>
      <c r="M127" s="3">
        <v>0</v>
      </c>
      <c r="N127" s="4" t="s">
        <v>60</v>
      </c>
      <c r="O127" s="3" t="str">
        <f t="shared" si="4"/>
        <v>Offline - F&amp;B</v>
      </c>
      <c r="P127" s="11">
        <v>9803000</v>
      </c>
      <c r="Q127" s="3">
        <v>5989200000</v>
      </c>
      <c r="R127" s="3">
        <v>3960500000</v>
      </c>
      <c r="S127" s="11">
        <v>14500000</v>
      </c>
    </row>
    <row r="128" spans="1:19" x14ac:dyDescent="0.35">
      <c r="A128" s="1" t="s">
        <v>56</v>
      </c>
      <c r="B128" s="1" t="str">
        <f t="shared" si="5"/>
        <v>BOB Card</v>
      </c>
      <c r="C128">
        <v>1321</v>
      </c>
      <c r="D128">
        <v>0</v>
      </c>
      <c r="E128">
        <v>3618</v>
      </c>
      <c r="F128" s="2">
        <v>1257149.76</v>
      </c>
      <c r="G128" s="2">
        <v>1078437.98</v>
      </c>
      <c r="H128" s="2">
        <v>21070</v>
      </c>
      <c r="I128" s="2">
        <v>1075501.76</v>
      </c>
      <c r="J128" s="2">
        <v>178338</v>
      </c>
      <c r="K128" s="3">
        <v>156937.44</v>
      </c>
      <c r="L128" s="3">
        <v>21400.560000000001</v>
      </c>
      <c r="M128" s="3">
        <v>154331.78</v>
      </c>
      <c r="N128" s="4" t="s">
        <v>60</v>
      </c>
      <c r="O128" s="3" t="str">
        <f t="shared" si="4"/>
        <v>Online</v>
      </c>
      <c r="P128" s="11">
        <v>9803000</v>
      </c>
      <c r="Q128" s="3">
        <v>5989200000</v>
      </c>
      <c r="R128" s="3">
        <v>3960500000</v>
      </c>
      <c r="S128" s="11">
        <v>14500000</v>
      </c>
    </row>
    <row r="129" spans="1:19" x14ac:dyDescent="0.35">
      <c r="A129" s="1" t="s">
        <v>61</v>
      </c>
      <c r="B129" s="1" t="str">
        <f t="shared" si="5"/>
        <v>DBS Bank</v>
      </c>
      <c r="C129">
        <v>11</v>
      </c>
      <c r="D129">
        <v>0</v>
      </c>
      <c r="E129">
        <v>21</v>
      </c>
      <c r="F129" s="2">
        <v>11330</v>
      </c>
      <c r="G129" s="2">
        <v>11330</v>
      </c>
      <c r="H129" s="2">
        <v>0</v>
      </c>
      <c r="I129" s="2">
        <v>9680</v>
      </c>
      <c r="J129" s="2">
        <v>1650</v>
      </c>
      <c r="K129" s="3">
        <v>1650</v>
      </c>
      <c r="L129" s="3">
        <v>0</v>
      </c>
      <c r="M129" s="3">
        <v>0</v>
      </c>
      <c r="N129" s="4" t="s">
        <v>60</v>
      </c>
      <c r="O129" s="3" t="str">
        <f t="shared" si="4"/>
        <v>Online</v>
      </c>
      <c r="P129" s="11">
        <v>9803000</v>
      </c>
      <c r="Q129" s="3">
        <v>5989200000</v>
      </c>
      <c r="R129" s="3">
        <v>3960500000</v>
      </c>
      <c r="S129" s="11">
        <v>14500000</v>
      </c>
    </row>
    <row r="130" spans="1:19" x14ac:dyDescent="0.35">
      <c r="A130" s="1" t="s">
        <v>62</v>
      </c>
      <c r="B130" s="1" t="str">
        <f t="shared" ref="B130:B161" si="6">IF(ISNUMBER(SEARCH("AXIS",A130)),"Axis Bank",
IF(ISNUMBER(SEARCH("HDFC",A130)),"HDFC Bank",
IF(ISNUMBER(SEARCH("ICICI",A130)),"ICICI Bank",
IF(ISNUMBER(SEARCH("AU",A130)),"AU Bank",
IF(ISNUMBER(SEARCH("KOTAK",A130)),"Kotak Mahindra Bank",
IF(ISNUMBER(SEARCH("SBI",A130)),"State Bank of India",
IF(ISNUMBER(SEARCH("HSBC",A130)),"HSBC",
IF(ISNUMBER(SEARCH("DBS",A130)),"DBS Bank",
IF(ISNUMBER(SEARCH("SCAPIA",A130)),"Scapia",
IF(ISNUMBER(SEARCH("STANDARD CHARTERED",A130)),"Standard Chartered Bank",
IF(ISNUMBER(SEARCH("IDBI",A130)),"IDBI Bank",
IF(ISNUMBER(SEARCH("J&amp;K",A130)),"J&amp;K Bank",
IF(ISNUMBER(SEARCH("JAMMU",A130)),"J&amp;K Bank",
IF(ISNUMBER(SEARCH("FEDERAL",A130)),"Federal Bank",
IF(ISNUMBER(SEARCH("BOBCARD",A130)),"BOB Card",
IF(ISNUMBER(SEARCH("BANK OF BARODA",A130)),"BOB Card",
IF(ISNUMBER(SEARCH("AMEX",A130)),"American Express",
IF(ISNUMBER(SEARCH("PLATINUM",A130)),"American Express",
IF(ISNUMBER(SEARCH("CENTURION",A130)),"American Express",
IF(ISNUMBER(SEARCH("VISA",A130)),"Visa",
IF(ISNUMBER(SEARCH("MASTERCARD",A130)),"Mastercard",
"")))))))))))))))))))))</f>
        <v>DBS Bank</v>
      </c>
      <c r="C130">
        <v>124</v>
      </c>
      <c r="D130">
        <v>0</v>
      </c>
      <c r="E130">
        <v>550</v>
      </c>
      <c r="F130" s="2">
        <v>144159.13</v>
      </c>
      <c r="G130" s="2">
        <v>0</v>
      </c>
      <c r="H130" s="2">
        <v>144159.13</v>
      </c>
      <c r="I130" s="2">
        <v>125559.13</v>
      </c>
      <c r="J130" s="2">
        <v>18600</v>
      </c>
      <c r="K130" s="3">
        <v>18600</v>
      </c>
      <c r="L130" s="3">
        <v>0</v>
      </c>
      <c r="M130" s="3">
        <v>0</v>
      </c>
      <c r="N130" s="4" t="s">
        <v>60</v>
      </c>
      <c r="O130" s="3" t="str">
        <f t="shared" ref="O130:O193" si="7">IF(ISNUMBER(SEARCH("Box Office",A130)),"Offline - Box Office",
IF(ISNUMBER(SEARCH("Digital Platforms",A130)),"Online",
IF(ISNUMBER(SEARCH("Refuel",A130)),"Offline - F&amp;B",
IF(ISNUMBER(SEARCH("Food &amp; Beverages",A130)),"Offline - F&amp;B",
IF(ISNUMBER(SEARCH("F&amp;B",A130)),"Offline - F&amp;B",
IF(ISNUMBER(SEARCH("Kiosk",A130)),"Offline - Box Office",
IF(ISNUMBER(SEARCH("Cinema",A130)),"Offline - Box Office",
"Other")))))))</f>
        <v>Offline - F&amp;B</v>
      </c>
      <c r="P130" s="11">
        <v>9803000</v>
      </c>
      <c r="Q130" s="3">
        <v>5989200000</v>
      </c>
      <c r="R130" s="3">
        <v>3960500000</v>
      </c>
      <c r="S130" s="11">
        <v>14500000</v>
      </c>
    </row>
    <row r="131" spans="1:19" x14ac:dyDescent="0.35">
      <c r="A131" s="1" t="s">
        <v>63</v>
      </c>
      <c r="B131" s="1" t="str">
        <f t="shared" si="6"/>
        <v>DBS Bank</v>
      </c>
      <c r="C131">
        <v>585</v>
      </c>
      <c r="D131">
        <v>585</v>
      </c>
      <c r="E131">
        <v>1435</v>
      </c>
      <c r="F131" s="2">
        <v>487127.78</v>
      </c>
      <c r="G131" s="2">
        <v>422496.7</v>
      </c>
      <c r="H131" s="2">
        <v>3780</v>
      </c>
      <c r="I131" s="2">
        <v>355735.98</v>
      </c>
      <c r="J131" s="2">
        <v>130309.8</v>
      </c>
      <c r="K131" s="3">
        <v>130309.8</v>
      </c>
      <c r="L131" s="3">
        <v>0</v>
      </c>
      <c r="M131" s="3">
        <v>59769.08</v>
      </c>
      <c r="N131" s="4" t="s">
        <v>60</v>
      </c>
      <c r="O131" s="3" t="str">
        <f t="shared" si="7"/>
        <v>Online</v>
      </c>
      <c r="P131" s="11">
        <v>9803000</v>
      </c>
      <c r="Q131" s="3">
        <v>5989200000</v>
      </c>
      <c r="R131" s="3">
        <v>3960500000</v>
      </c>
      <c r="S131" s="11">
        <v>14500000</v>
      </c>
    </row>
    <row r="132" spans="1:19" x14ac:dyDescent="0.35">
      <c r="A132" s="1" t="s">
        <v>25</v>
      </c>
      <c r="B132" s="1" t="str">
        <f t="shared" si="6"/>
        <v>Federal Bank</v>
      </c>
      <c r="C132">
        <v>325</v>
      </c>
      <c r="D132">
        <v>325</v>
      </c>
      <c r="E132">
        <v>1011</v>
      </c>
      <c r="F132" s="2">
        <v>207841.62</v>
      </c>
      <c r="G132" s="2">
        <v>201285.62</v>
      </c>
      <c r="H132" s="2">
        <v>6656</v>
      </c>
      <c r="I132" s="2">
        <v>175450.62</v>
      </c>
      <c r="J132" s="2">
        <v>32491</v>
      </c>
      <c r="K132" s="3">
        <v>32491</v>
      </c>
      <c r="L132" s="3">
        <v>0</v>
      </c>
      <c r="M132" s="3">
        <v>0</v>
      </c>
      <c r="N132" s="4" t="s">
        <v>60</v>
      </c>
      <c r="O132" s="3" t="str">
        <f t="shared" si="7"/>
        <v>Offline - Box Office</v>
      </c>
      <c r="P132" s="11">
        <v>9803000</v>
      </c>
      <c r="Q132" s="3">
        <v>5989200000</v>
      </c>
      <c r="R132" s="3">
        <v>3960500000</v>
      </c>
      <c r="S132" s="11">
        <v>14500000</v>
      </c>
    </row>
    <row r="133" spans="1:19" x14ac:dyDescent="0.35">
      <c r="A133" s="1" t="s">
        <v>26</v>
      </c>
      <c r="B133" s="1" t="str">
        <f t="shared" si="6"/>
        <v>Federal Bank</v>
      </c>
      <c r="C133">
        <v>239</v>
      </c>
      <c r="D133">
        <v>239</v>
      </c>
      <c r="E133">
        <v>581</v>
      </c>
      <c r="F133" s="2">
        <v>154979.37</v>
      </c>
      <c r="G133" s="2">
        <v>132932.97</v>
      </c>
      <c r="H133" s="2">
        <v>1210</v>
      </c>
      <c r="I133" s="2">
        <v>131350.32999999999</v>
      </c>
      <c r="J133" s="2">
        <v>23141.040000000001</v>
      </c>
      <c r="K133" s="3">
        <v>23141.040000000001</v>
      </c>
      <c r="L133" s="3">
        <v>0</v>
      </c>
      <c r="M133" s="3">
        <v>20348.400000000001</v>
      </c>
      <c r="N133" s="4" t="s">
        <v>60</v>
      </c>
      <c r="O133" s="3" t="str">
        <f t="shared" si="7"/>
        <v>Online</v>
      </c>
      <c r="P133" s="11">
        <v>9803000</v>
      </c>
      <c r="Q133" s="3">
        <v>5989200000</v>
      </c>
      <c r="R133" s="3">
        <v>3960500000</v>
      </c>
      <c r="S133" s="11">
        <v>14500000</v>
      </c>
    </row>
    <row r="134" spans="1:19" x14ac:dyDescent="0.35">
      <c r="A134" s="1" t="s">
        <v>27</v>
      </c>
      <c r="B134" s="1" t="str">
        <f t="shared" si="6"/>
        <v>Federal Bank</v>
      </c>
      <c r="C134">
        <v>20</v>
      </c>
      <c r="D134">
        <v>20</v>
      </c>
      <c r="E134">
        <v>58</v>
      </c>
      <c r="F134" s="2">
        <v>13501</v>
      </c>
      <c r="G134" s="2">
        <v>13261</v>
      </c>
      <c r="H134" s="2">
        <v>240</v>
      </c>
      <c r="I134" s="2">
        <v>11502</v>
      </c>
      <c r="J134" s="2">
        <v>1999</v>
      </c>
      <c r="K134" s="3">
        <v>1999</v>
      </c>
      <c r="L134" s="3">
        <v>0</v>
      </c>
      <c r="M134" s="3">
        <v>0</v>
      </c>
      <c r="N134" s="4" t="s">
        <v>60</v>
      </c>
      <c r="O134" s="3" t="str">
        <f t="shared" si="7"/>
        <v>Offline - Box Office</v>
      </c>
      <c r="P134" s="11">
        <v>9803000</v>
      </c>
      <c r="Q134" s="3">
        <v>5989200000</v>
      </c>
      <c r="R134" s="3">
        <v>3960500000</v>
      </c>
      <c r="S134" s="11">
        <v>14500000</v>
      </c>
    </row>
    <row r="135" spans="1:19" x14ac:dyDescent="0.35">
      <c r="A135" s="1" t="s">
        <v>28</v>
      </c>
      <c r="B135" s="1" t="str">
        <f t="shared" si="6"/>
        <v>Federal Bank</v>
      </c>
      <c r="C135">
        <v>21</v>
      </c>
      <c r="D135">
        <v>21</v>
      </c>
      <c r="E135">
        <v>50</v>
      </c>
      <c r="F135" s="2">
        <v>13213.44</v>
      </c>
      <c r="G135" s="2">
        <v>10891.12</v>
      </c>
      <c r="H135" s="2">
        <v>620</v>
      </c>
      <c r="I135" s="2">
        <v>11055.44</v>
      </c>
      <c r="J135" s="2">
        <v>2098</v>
      </c>
      <c r="K135" s="3">
        <v>2098</v>
      </c>
      <c r="L135" s="3">
        <v>0</v>
      </c>
      <c r="M135" s="3">
        <v>1642.32</v>
      </c>
      <c r="N135" s="4" t="s">
        <v>60</v>
      </c>
      <c r="O135" s="3" t="str">
        <f t="shared" si="7"/>
        <v>Online</v>
      </c>
      <c r="P135" s="11">
        <v>9803000</v>
      </c>
      <c r="Q135" s="3">
        <v>5989200000</v>
      </c>
      <c r="R135" s="3">
        <v>3960500000</v>
      </c>
      <c r="S135" s="11">
        <v>14500000</v>
      </c>
    </row>
    <row r="136" spans="1:19" x14ac:dyDescent="0.35">
      <c r="A136" s="1" t="s">
        <v>29</v>
      </c>
      <c r="B136" s="1" t="str">
        <f t="shared" si="6"/>
        <v>Federal Bank</v>
      </c>
      <c r="C136">
        <v>61</v>
      </c>
      <c r="D136">
        <v>61</v>
      </c>
      <c r="E136">
        <v>171</v>
      </c>
      <c r="F136" s="2">
        <v>34000.120000000003</v>
      </c>
      <c r="G136" s="2">
        <v>33720.120000000003</v>
      </c>
      <c r="H136" s="2">
        <v>280</v>
      </c>
      <c r="I136" s="2">
        <v>27901.119999999999</v>
      </c>
      <c r="J136" s="2">
        <v>6099</v>
      </c>
      <c r="K136" s="3">
        <v>6099</v>
      </c>
      <c r="L136" s="3">
        <v>0</v>
      </c>
      <c r="M136" s="3">
        <v>0</v>
      </c>
      <c r="N136" s="4" t="s">
        <v>60</v>
      </c>
      <c r="O136" s="3" t="str">
        <f t="shared" si="7"/>
        <v>Offline - Box Office</v>
      </c>
      <c r="P136" s="11">
        <v>9803000</v>
      </c>
      <c r="Q136" s="3">
        <v>5989200000</v>
      </c>
      <c r="R136" s="3">
        <v>3960500000</v>
      </c>
      <c r="S136" s="11">
        <v>14500000</v>
      </c>
    </row>
    <row r="137" spans="1:19" x14ac:dyDescent="0.35">
      <c r="A137" s="1" t="s">
        <v>30</v>
      </c>
      <c r="B137" s="1" t="str">
        <f t="shared" si="6"/>
        <v>Federal Bank</v>
      </c>
      <c r="C137">
        <v>56</v>
      </c>
      <c r="D137">
        <v>56</v>
      </c>
      <c r="E137">
        <v>135</v>
      </c>
      <c r="F137" s="2">
        <v>32906</v>
      </c>
      <c r="G137" s="2">
        <v>27365.66</v>
      </c>
      <c r="H137" s="2">
        <v>1190</v>
      </c>
      <c r="I137" s="2">
        <v>27243.759999999998</v>
      </c>
      <c r="J137" s="2">
        <v>5520.24</v>
      </c>
      <c r="K137" s="3">
        <v>5520.24</v>
      </c>
      <c r="L137" s="3">
        <v>0</v>
      </c>
      <c r="M137" s="3">
        <v>4208.34</v>
      </c>
      <c r="N137" s="4" t="s">
        <v>60</v>
      </c>
      <c r="O137" s="3" t="str">
        <f t="shared" si="7"/>
        <v>Online</v>
      </c>
      <c r="P137" s="11">
        <v>9803000</v>
      </c>
      <c r="Q137" s="3">
        <v>5989200000</v>
      </c>
      <c r="R137" s="3">
        <v>3960500000</v>
      </c>
      <c r="S137" s="11">
        <v>14500000</v>
      </c>
    </row>
    <row r="138" spans="1:19" x14ac:dyDescent="0.35">
      <c r="A138" s="1" t="s">
        <v>31</v>
      </c>
      <c r="B138" s="1" t="str">
        <f t="shared" si="6"/>
        <v>HSBC</v>
      </c>
      <c r="C138">
        <v>12</v>
      </c>
      <c r="D138">
        <v>0</v>
      </c>
      <c r="E138">
        <v>31</v>
      </c>
      <c r="F138" s="2">
        <v>35388.22</v>
      </c>
      <c r="G138" s="2">
        <v>31786</v>
      </c>
      <c r="H138" s="2">
        <v>0</v>
      </c>
      <c r="I138" s="2">
        <v>32181.22</v>
      </c>
      <c r="J138" s="2">
        <v>3179</v>
      </c>
      <c r="K138" s="3">
        <v>1589.5</v>
      </c>
      <c r="L138" s="3">
        <v>1589.5</v>
      </c>
      <c r="M138" s="3">
        <v>3574.22</v>
      </c>
      <c r="N138" s="4" t="s">
        <v>60</v>
      </c>
      <c r="O138" s="3" t="str">
        <f t="shared" si="7"/>
        <v>Online</v>
      </c>
      <c r="P138" s="11">
        <v>9803000</v>
      </c>
      <c r="Q138" s="3">
        <v>5989200000</v>
      </c>
      <c r="R138" s="3">
        <v>3960500000</v>
      </c>
      <c r="S138" s="11">
        <v>14500000</v>
      </c>
    </row>
    <row r="139" spans="1:19" x14ac:dyDescent="0.35">
      <c r="A139" s="1" t="s">
        <v>32</v>
      </c>
      <c r="B139" s="1" t="str">
        <f t="shared" si="6"/>
        <v>ICICI Bank</v>
      </c>
      <c r="C139">
        <v>2381</v>
      </c>
      <c r="D139">
        <v>0</v>
      </c>
      <c r="E139">
        <v>7258</v>
      </c>
      <c r="F139" s="2">
        <v>2092103.9</v>
      </c>
      <c r="G139" s="2">
        <v>2087095.9</v>
      </c>
      <c r="H139" s="2">
        <v>5008</v>
      </c>
      <c r="I139" s="2">
        <v>1843680.9</v>
      </c>
      <c r="J139" s="2">
        <v>248423</v>
      </c>
      <c r="K139" s="3">
        <v>218612.24</v>
      </c>
      <c r="L139" s="3">
        <v>29810.76</v>
      </c>
      <c r="M139" s="3">
        <v>0</v>
      </c>
      <c r="N139" s="4" t="s">
        <v>60</v>
      </c>
      <c r="O139" s="3" t="str">
        <f t="shared" si="7"/>
        <v>Offline - Box Office</v>
      </c>
      <c r="P139" s="11">
        <v>9803000</v>
      </c>
      <c r="Q139" s="3">
        <v>5989200000</v>
      </c>
      <c r="R139" s="3">
        <v>3960500000</v>
      </c>
      <c r="S139" s="11">
        <v>14500000</v>
      </c>
    </row>
    <row r="140" spans="1:19" x14ac:dyDescent="0.35">
      <c r="A140" s="1" t="s">
        <v>33</v>
      </c>
      <c r="B140" s="1" t="str">
        <f t="shared" si="6"/>
        <v>ICICI Bank</v>
      </c>
      <c r="C140">
        <v>2007</v>
      </c>
      <c r="D140">
        <v>0</v>
      </c>
      <c r="E140">
        <v>5571</v>
      </c>
      <c r="F140" s="2">
        <v>1879764.91</v>
      </c>
      <c r="G140" s="2">
        <v>1612495.77</v>
      </c>
      <c r="H140" s="2">
        <v>34654</v>
      </c>
      <c r="I140" s="2">
        <v>1659715.91</v>
      </c>
      <c r="J140" s="2">
        <v>215205</v>
      </c>
      <c r="K140" s="3">
        <v>182924.25</v>
      </c>
      <c r="L140" s="3">
        <v>32280.75</v>
      </c>
      <c r="M140" s="3">
        <v>227771.14</v>
      </c>
      <c r="N140" s="4" t="s">
        <v>60</v>
      </c>
      <c r="O140" s="3" t="str">
        <f t="shared" si="7"/>
        <v>Online</v>
      </c>
      <c r="P140" s="11">
        <v>9803000</v>
      </c>
      <c r="Q140" s="3">
        <v>5989200000</v>
      </c>
      <c r="R140" s="3">
        <v>3960500000</v>
      </c>
      <c r="S140" s="11">
        <v>14500000</v>
      </c>
    </row>
    <row r="141" spans="1:19" x14ac:dyDescent="0.35">
      <c r="A141" s="1" t="s">
        <v>34</v>
      </c>
      <c r="B141" s="1" t="str">
        <f t="shared" si="6"/>
        <v>ICICI Bank</v>
      </c>
      <c r="C141">
        <v>181</v>
      </c>
      <c r="D141">
        <v>0</v>
      </c>
      <c r="E141">
        <v>529</v>
      </c>
      <c r="F141" s="2">
        <v>158546.68</v>
      </c>
      <c r="G141" s="2">
        <v>158546.68</v>
      </c>
      <c r="H141" s="2">
        <v>0</v>
      </c>
      <c r="I141" s="2">
        <v>149296.68</v>
      </c>
      <c r="J141" s="2">
        <v>9250</v>
      </c>
      <c r="K141" s="3">
        <v>8140</v>
      </c>
      <c r="L141" s="3">
        <v>1110</v>
      </c>
      <c r="M141" s="3">
        <v>0</v>
      </c>
      <c r="N141" s="4" t="s">
        <v>60</v>
      </c>
      <c r="O141" s="3" t="str">
        <f t="shared" si="7"/>
        <v>Offline - Box Office</v>
      </c>
      <c r="P141" s="11">
        <v>9803000</v>
      </c>
      <c r="Q141" s="3">
        <v>5989200000</v>
      </c>
      <c r="R141" s="3">
        <v>3960500000</v>
      </c>
      <c r="S141" s="11">
        <v>14500000</v>
      </c>
    </row>
    <row r="142" spans="1:19" x14ac:dyDescent="0.35">
      <c r="A142" s="1" t="s">
        <v>35</v>
      </c>
      <c r="B142" s="1" t="str">
        <f t="shared" si="6"/>
        <v>ICICI Bank</v>
      </c>
      <c r="C142">
        <v>52</v>
      </c>
      <c r="D142">
        <v>0</v>
      </c>
      <c r="E142">
        <v>133</v>
      </c>
      <c r="F142" s="2">
        <v>46546.74</v>
      </c>
      <c r="G142" s="2">
        <v>37900.480000000003</v>
      </c>
      <c r="H142" s="2">
        <v>3160</v>
      </c>
      <c r="I142" s="2">
        <v>43546.74</v>
      </c>
      <c r="J142" s="2">
        <v>2832</v>
      </c>
      <c r="K142" s="3">
        <v>2407.1999999999998</v>
      </c>
      <c r="L142" s="3">
        <v>424.8</v>
      </c>
      <c r="M142" s="3">
        <v>5318.26</v>
      </c>
      <c r="N142" s="4" t="s">
        <v>60</v>
      </c>
      <c r="O142" s="3" t="str">
        <f t="shared" si="7"/>
        <v>Online</v>
      </c>
      <c r="P142" s="11">
        <v>9803000</v>
      </c>
      <c r="Q142" s="3">
        <v>5989200000</v>
      </c>
      <c r="R142" s="3">
        <v>3960500000</v>
      </c>
      <c r="S142" s="11">
        <v>14500000</v>
      </c>
    </row>
    <row r="143" spans="1:19" x14ac:dyDescent="0.35">
      <c r="A143" s="1" t="s">
        <v>51</v>
      </c>
      <c r="B143" s="1" t="str">
        <f t="shared" si="6"/>
        <v>Kotak Mahindra Bank</v>
      </c>
      <c r="C143">
        <v>77</v>
      </c>
      <c r="D143">
        <v>0</v>
      </c>
      <c r="E143">
        <v>161</v>
      </c>
      <c r="F143" s="2">
        <v>135766.12</v>
      </c>
      <c r="G143" s="2">
        <v>121073</v>
      </c>
      <c r="H143" s="2">
        <v>1505</v>
      </c>
      <c r="I143" s="2">
        <v>109199.12</v>
      </c>
      <c r="J143" s="2">
        <v>26401</v>
      </c>
      <c r="K143" s="3">
        <v>21120.799999999999</v>
      </c>
      <c r="L143" s="3">
        <v>5280.2</v>
      </c>
      <c r="M143" s="3">
        <v>13022.12</v>
      </c>
      <c r="N143" s="4" t="s">
        <v>60</v>
      </c>
      <c r="O143" s="3" t="str">
        <f t="shared" si="7"/>
        <v>Online</v>
      </c>
      <c r="P143" s="11">
        <v>9803000</v>
      </c>
      <c r="Q143" s="3">
        <v>5989200000</v>
      </c>
      <c r="R143" s="3">
        <v>3960500000</v>
      </c>
      <c r="S143" s="11">
        <v>14500000</v>
      </c>
    </row>
    <row r="144" spans="1:19" x14ac:dyDescent="0.35">
      <c r="A144" s="1" t="s">
        <v>52</v>
      </c>
      <c r="B144" s="1" t="str">
        <f t="shared" si="6"/>
        <v>Kotak Mahindra Bank</v>
      </c>
      <c r="C144">
        <v>18</v>
      </c>
      <c r="D144">
        <v>18</v>
      </c>
      <c r="E144">
        <v>40</v>
      </c>
      <c r="F144" s="2">
        <v>43379.22</v>
      </c>
      <c r="G144" s="2">
        <v>39800</v>
      </c>
      <c r="H144" s="2">
        <v>0</v>
      </c>
      <c r="I144" s="2">
        <v>30215.22</v>
      </c>
      <c r="J144" s="2">
        <v>13100</v>
      </c>
      <c r="K144" s="3">
        <v>13100</v>
      </c>
      <c r="L144" s="3">
        <v>0</v>
      </c>
      <c r="M144" s="3">
        <v>3515.22</v>
      </c>
      <c r="N144" s="4" t="s">
        <v>60</v>
      </c>
      <c r="O144" s="3" t="str">
        <f t="shared" si="7"/>
        <v>Online</v>
      </c>
      <c r="P144" s="11">
        <v>9803000</v>
      </c>
      <c r="Q144" s="3">
        <v>5989200000</v>
      </c>
      <c r="R144" s="3">
        <v>3960500000</v>
      </c>
      <c r="S144" s="11">
        <v>14500000</v>
      </c>
    </row>
    <row r="145" spans="1:19" x14ac:dyDescent="0.35">
      <c r="A145" s="1" t="s">
        <v>57</v>
      </c>
      <c r="B145" s="1" t="str">
        <f t="shared" si="6"/>
        <v>Kotak Mahindra Bank</v>
      </c>
      <c r="C145">
        <v>14130</v>
      </c>
      <c r="D145">
        <v>0</v>
      </c>
      <c r="E145">
        <v>33737</v>
      </c>
      <c r="F145" s="2">
        <v>8152619.7400000002</v>
      </c>
      <c r="G145" s="2">
        <v>428950.71</v>
      </c>
      <c r="H145" s="2">
        <v>7711518.79</v>
      </c>
      <c r="I145" s="2">
        <v>6209929.7400000002</v>
      </c>
      <c r="J145" s="2">
        <v>1942382</v>
      </c>
      <c r="K145" s="3">
        <v>0</v>
      </c>
      <c r="L145" s="3">
        <v>1942382</v>
      </c>
      <c r="M145" s="3">
        <v>11842.24</v>
      </c>
      <c r="N145" s="4" t="s">
        <v>60</v>
      </c>
      <c r="O145" s="3" t="str">
        <f t="shared" si="7"/>
        <v>Other</v>
      </c>
      <c r="P145" s="11">
        <v>9803000</v>
      </c>
      <c r="Q145" s="3">
        <v>5989200000</v>
      </c>
      <c r="R145" s="3">
        <v>3960500000</v>
      </c>
      <c r="S145" s="11">
        <v>14500000</v>
      </c>
    </row>
    <row r="146" spans="1:19" x14ac:dyDescent="0.35">
      <c r="A146" s="1" t="s">
        <v>58</v>
      </c>
      <c r="B146" s="1" t="str">
        <f t="shared" si="6"/>
        <v>Kotak Mahindra Bank</v>
      </c>
      <c r="C146">
        <v>3793</v>
      </c>
      <c r="D146">
        <v>0</v>
      </c>
      <c r="E146">
        <v>9589</v>
      </c>
      <c r="F146" s="2">
        <v>2901427.04</v>
      </c>
      <c r="G146" s="2">
        <v>2712699.26</v>
      </c>
      <c r="H146" s="2">
        <v>5850</v>
      </c>
      <c r="I146" s="2">
        <v>2812957.01</v>
      </c>
      <c r="J146" s="2">
        <v>85574</v>
      </c>
      <c r="K146" s="3">
        <v>0</v>
      </c>
      <c r="L146" s="3">
        <v>85574</v>
      </c>
      <c r="M146" s="3">
        <v>179981.78</v>
      </c>
      <c r="N146" s="4" t="s">
        <v>60</v>
      </c>
      <c r="O146" s="3" t="str">
        <f t="shared" si="7"/>
        <v>Other</v>
      </c>
      <c r="P146" s="11">
        <v>9803000</v>
      </c>
      <c r="Q146" s="3">
        <v>5989200000</v>
      </c>
      <c r="R146" s="3">
        <v>3960500000</v>
      </c>
      <c r="S146" s="11">
        <v>14500000</v>
      </c>
    </row>
    <row r="147" spans="1:19" x14ac:dyDescent="0.35">
      <c r="A147" s="1" t="s">
        <v>40</v>
      </c>
      <c r="B147" s="1" t="str">
        <f t="shared" si="6"/>
        <v>Standard Chartered Bank</v>
      </c>
      <c r="C147">
        <v>18</v>
      </c>
      <c r="D147">
        <v>18</v>
      </c>
      <c r="E147">
        <v>44</v>
      </c>
      <c r="F147" s="2">
        <v>11760.02</v>
      </c>
      <c r="G147" s="2">
        <v>11691.02</v>
      </c>
      <c r="H147" s="2">
        <v>69</v>
      </c>
      <c r="I147" s="2">
        <v>8385.68</v>
      </c>
      <c r="J147" s="2">
        <v>3374.34</v>
      </c>
      <c r="K147" s="3">
        <v>3374.34</v>
      </c>
      <c r="L147" s="3">
        <v>0</v>
      </c>
      <c r="M147" s="3">
        <v>0</v>
      </c>
      <c r="N147" s="4" t="s">
        <v>60</v>
      </c>
      <c r="O147" s="3" t="str">
        <f t="shared" si="7"/>
        <v>Offline - Box Office</v>
      </c>
      <c r="P147" s="11">
        <v>9803000</v>
      </c>
      <c r="Q147" s="3">
        <v>5989200000</v>
      </c>
      <c r="R147" s="3">
        <v>3960500000</v>
      </c>
      <c r="S147" s="11">
        <v>14500000</v>
      </c>
    </row>
    <row r="148" spans="1:19" x14ac:dyDescent="0.35">
      <c r="A148" s="1" t="s">
        <v>41</v>
      </c>
      <c r="B148" s="1" t="str">
        <f t="shared" si="6"/>
        <v>Standard Chartered Bank</v>
      </c>
      <c r="C148">
        <v>183</v>
      </c>
      <c r="D148">
        <v>183</v>
      </c>
      <c r="E148">
        <v>401</v>
      </c>
      <c r="F148" s="2">
        <v>126479.76</v>
      </c>
      <c r="G148" s="2">
        <v>109807.28</v>
      </c>
      <c r="H148" s="2">
        <v>800</v>
      </c>
      <c r="I148" s="2">
        <v>90745.86</v>
      </c>
      <c r="J148" s="2">
        <v>35369.9</v>
      </c>
      <c r="K148" s="3">
        <v>35369.9</v>
      </c>
      <c r="L148" s="3">
        <v>0</v>
      </c>
      <c r="M148" s="3">
        <v>15508.48</v>
      </c>
      <c r="N148" s="4" t="s">
        <v>60</v>
      </c>
      <c r="O148" s="3" t="str">
        <f t="shared" si="7"/>
        <v>Online</v>
      </c>
      <c r="P148" s="11">
        <v>9803000</v>
      </c>
      <c r="Q148" s="3">
        <v>5989200000</v>
      </c>
      <c r="R148" s="3">
        <v>3960500000</v>
      </c>
      <c r="S148" s="11">
        <v>14500000</v>
      </c>
    </row>
    <row r="149" spans="1:19" x14ac:dyDescent="0.35">
      <c r="A149" s="1" t="s">
        <v>19</v>
      </c>
      <c r="B149" s="1" t="str">
        <f t="shared" si="6"/>
        <v>AU Bank</v>
      </c>
      <c r="C149">
        <v>250</v>
      </c>
      <c r="D149">
        <v>0</v>
      </c>
      <c r="E149">
        <v>813</v>
      </c>
      <c r="F149" s="2">
        <v>276432.98</v>
      </c>
      <c r="G149" s="2">
        <v>233895.94</v>
      </c>
      <c r="H149" s="2">
        <v>7920</v>
      </c>
      <c r="I149" s="2">
        <v>250752.98</v>
      </c>
      <c r="J149" s="2">
        <v>25000</v>
      </c>
      <c r="K149" s="3">
        <v>25000</v>
      </c>
      <c r="L149" s="3">
        <v>0</v>
      </c>
      <c r="M149" s="3">
        <v>33937.040000000001</v>
      </c>
      <c r="N149" s="4" t="s">
        <v>64</v>
      </c>
      <c r="O149" s="3" t="str">
        <f t="shared" si="7"/>
        <v>Online</v>
      </c>
      <c r="P149" s="11">
        <v>8070000</v>
      </c>
      <c r="Q149" s="3">
        <v>4167100000</v>
      </c>
      <c r="R149" s="3">
        <v>2686400000</v>
      </c>
      <c r="S149" s="11">
        <v>12100000</v>
      </c>
    </row>
    <row r="150" spans="1:19" x14ac:dyDescent="0.35">
      <c r="A150" s="1" t="s">
        <v>21</v>
      </c>
      <c r="B150" s="1" t="str">
        <f t="shared" si="6"/>
        <v>AU Bank</v>
      </c>
      <c r="C150">
        <v>71</v>
      </c>
      <c r="D150">
        <v>0</v>
      </c>
      <c r="E150">
        <v>92</v>
      </c>
      <c r="F150" s="2">
        <v>44571.96</v>
      </c>
      <c r="G150" s="2">
        <v>38111</v>
      </c>
      <c r="H150" s="2">
        <v>5970</v>
      </c>
      <c r="I150" s="2">
        <v>37459.96</v>
      </c>
      <c r="J150" s="2">
        <v>7100</v>
      </c>
      <c r="K150" s="3">
        <v>4970</v>
      </c>
      <c r="L150" s="3">
        <v>2130</v>
      </c>
      <c r="M150" s="3">
        <v>478.96</v>
      </c>
      <c r="N150" s="4" t="s">
        <v>64</v>
      </c>
      <c r="O150" s="3" t="str">
        <f t="shared" si="7"/>
        <v>Online</v>
      </c>
      <c r="P150" s="11">
        <v>8070000</v>
      </c>
      <c r="Q150" s="3">
        <v>4167100000</v>
      </c>
      <c r="R150" s="3">
        <v>2686400000</v>
      </c>
      <c r="S150" s="11">
        <v>12100000</v>
      </c>
    </row>
    <row r="151" spans="1:19" x14ac:dyDescent="0.35">
      <c r="A151" s="1" t="s">
        <v>22</v>
      </c>
      <c r="B151" s="1" t="str">
        <f t="shared" si="6"/>
        <v>AU Bank</v>
      </c>
      <c r="C151">
        <v>742</v>
      </c>
      <c r="D151">
        <v>0</v>
      </c>
      <c r="E151">
        <v>1922</v>
      </c>
      <c r="F151" s="2">
        <v>527509.23</v>
      </c>
      <c r="G151" s="2">
        <v>0</v>
      </c>
      <c r="H151" s="2">
        <v>527509.23</v>
      </c>
      <c r="I151" s="2">
        <v>453309.23</v>
      </c>
      <c r="J151" s="2">
        <v>74200</v>
      </c>
      <c r="K151" s="3">
        <v>51940</v>
      </c>
      <c r="L151" s="3">
        <v>22260</v>
      </c>
      <c r="M151" s="3">
        <v>0</v>
      </c>
      <c r="N151" s="4" t="s">
        <v>64</v>
      </c>
      <c r="O151" s="3" t="str">
        <f t="shared" si="7"/>
        <v>Offline - F&amp;B</v>
      </c>
      <c r="P151" s="11">
        <v>8070000</v>
      </c>
      <c r="Q151" s="3">
        <v>4167100000</v>
      </c>
      <c r="R151" s="3">
        <v>2686400000</v>
      </c>
      <c r="S151" s="11">
        <v>12100000</v>
      </c>
    </row>
    <row r="152" spans="1:19" x14ac:dyDescent="0.35">
      <c r="A152" s="1" t="s">
        <v>43</v>
      </c>
      <c r="B152" s="1" t="str">
        <f t="shared" si="6"/>
        <v>Axis Bank</v>
      </c>
      <c r="C152">
        <v>17</v>
      </c>
      <c r="D152">
        <v>17</v>
      </c>
      <c r="E152">
        <v>52</v>
      </c>
      <c r="F152" s="2">
        <v>15191.56</v>
      </c>
      <c r="G152" s="2">
        <v>15191.56</v>
      </c>
      <c r="H152" s="2">
        <v>0</v>
      </c>
      <c r="I152" s="2">
        <v>11900.78</v>
      </c>
      <c r="J152" s="2">
        <v>3290.78</v>
      </c>
      <c r="K152" s="3">
        <v>2895.89</v>
      </c>
      <c r="L152" s="3">
        <v>394.89</v>
      </c>
      <c r="M152" s="3">
        <v>0</v>
      </c>
      <c r="N152" s="4" t="s">
        <v>64</v>
      </c>
      <c r="O152" s="3" t="str">
        <f t="shared" si="7"/>
        <v>Offline - Box Office</v>
      </c>
      <c r="P152" s="11">
        <v>8070000</v>
      </c>
      <c r="Q152" s="3">
        <v>4167100000</v>
      </c>
      <c r="R152" s="3">
        <v>2686400000</v>
      </c>
      <c r="S152" s="11">
        <v>12100000</v>
      </c>
    </row>
    <row r="153" spans="1:19" x14ac:dyDescent="0.35">
      <c r="A153" s="1" t="s">
        <v>23</v>
      </c>
      <c r="B153" s="1" t="str">
        <f t="shared" si="6"/>
        <v>Axis Bank</v>
      </c>
      <c r="C153">
        <v>23</v>
      </c>
      <c r="D153">
        <v>23</v>
      </c>
      <c r="E153">
        <v>66</v>
      </c>
      <c r="F153" s="2">
        <v>17893.02</v>
      </c>
      <c r="G153" s="2">
        <v>15545.5</v>
      </c>
      <c r="H153" s="2">
        <v>0</v>
      </c>
      <c r="I153" s="2">
        <v>13599.12</v>
      </c>
      <c r="J153" s="2">
        <v>4227.8999999999996</v>
      </c>
      <c r="K153" s="3">
        <v>3593.7</v>
      </c>
      <c r="L153" s="3">
        <v>634.20000000000005</v>
      </c>
      <c r="M153" s="3">
        <v>2281.52</v>
      </c>
      <c r="N153" s="4" t="s">
        <v>64</v>
      </c>
      <c r="O153" s="3" t="str">
        <f t="shared" si="7"/>
        <v>Online</v>
      </c>
      <c r="P153" s="11">
        <v>8070000</v>
      </c>
      <c r="Q153" s="3">
        <v>4167100000</v>
      </c>
      <c r="R153" s="3">
        <v>2686400000</v>
      </c>
      <c r="S153" s="11">
        <v>12100000</v>
      </c>
    </row>
    <row r="154" spans="1:19" x14ac:dyDescent="0.35">
      <c r="A154" s="1" t="s">
        <v>44</v>
      </c>
      <c r="B154" s="1" t="str">
        <f t="shared" si="6"/>
        <v>Axis Bank</v>
      </c>
      <c r="C154">
        <v>204</v>
      </c>
      <c r="D154">
        <v>204</v>
      </c>
      <c r="E154">
        <v>541</v>
      </c>
      <c r="F154" s="2">
        <v>129715.64</v>
      </c>
      <c r="G154" s="2">
        <v>129715.64</v>
      </c>
      <c r="H154" s="2">
        <v>0</v>
      </c>
      <c r="I154" s="2">
        <v>91311.96</v>
      </c>
      <c r="J154" s="2">
        <v>38403.68</v>
      </c>
      <c r="K154" s="3">
        <v>33795.31</v>
      </c>
      <c r="L154" s="3">
        <v>4608.37</v>
      </c>
      <c r="M154" s="3">
        <v>0</v>
      </c>
      <c r="N154" s="4" t="s">
        <v>64</v>
      </c>
      <c r="O154" s="3" t="str">
        <f t="shared" si="7"/>
        <v>Offline - Box Office</v>
      </c>
      <c r="P154" s="11">
        <v>8070000</v>
      </c>
      <c r="Q154" s="3">
        <v>4167100000</v>
      </c>
      <c r="R154" s="3">
        <v>2686400000</v>
      </c>
      <c r="S154" s="11">
        <v>12100000</v>
      </c>
    </row>
    <row r="155" spans="1:19" x14ac:dyDescent="0.35">
      <c r="A155" s="1" t="s">
        <v>24</v>
      </c>
      <c r="B155" s="1" t="str">
        <f t="shared" si="6"/>
        <v>Axis Bank</v>
      </c>
      <c r="C155">
        <v>653</v>
      </c>
      <c r="D155">
        <v>653</v>
      </c>
      <c r="E155">
        <v>1495</v>
      </c>
      <c r="F155" s="2">
        <v>382186.63</v>
      </c>
      <c r="G155" s="2">
        <v>331105.49</v>
      </c>
      <c r="H155" s="2">
        <v>1120</v>
      </c>
      <c r="I155" s="2">
        <v>260167.48</v>
      </c>
      <c r="J155" s="2">
        <v>120795.15</v>
      </c>
      <c r="K155" s="3">
        <v>102675.49</v>
      </c>
      <c r="L155" s="3">
        <v>18119.66</v>
      </c>
      <c r="M155" s="3">
        <v>48737.14</v>
      </c>
      <c r="N155" s="4" t="s">
        <v>64</v>
      </c>
      <c r="O155" s="3" t="str">
        <f t="shared" si="7"/>
        <v>Online</v>
      </c>
      <c r="P155" s="11">
        <v>8070000</v>
      </c>
      <c r="Q155" s="3">
        <v>4167100000</v>
      </c>
      <c r="R155" s="3">
        <v>2686400000</v>
      </c>
      <c r="S155" s="11">
        <v>12100000</v>
      </c>
    </row>
    <row r="156" spans="1:19" x14ac:dyDescent="0.35">
      <c r="A156" s="1" t="s">
        <v>54</v>
      </c>
      <c r="B156" s="1" t="str">
        <f t="shared" si="6"/>
        <v>BOB Card</v>
      </c>
      <c r="C156">
        <v>17</v>
      </c>
      <c r="D156">
        <v>0</v>
      </c>
      <c r="E156">
        <v>30</v>
      </c>
      <c r="F156" s="2">
        <v>14056.2</v>
      </c>
      <c r="G156" s="2">
        <v>12839</v>
      </c>
      <c r="H156" s="2">
        <v>1170</v>
      </c>
      <c r="I156" s="2">
        <v>12679.2</v>
      </c>
      <c r="J156" s="2">
        <v>1377</v>
      </c>
      <c r="K156" s="3">
        <v>963.9</v>
      </c>
      <c r="L156" s="3">
        <v>413.1</v>
      </c>
      <c r="M156" s="3">
        <v>47.2</v>
      </c>
      <c r="N156" s="4" t="s">
        <v>64</v>
      </c>
      <c r="O156" s="3" t="str">
        <f t="shared" si="7"/>
        <v>Online</v>
      </c>
      <c r="P156" s="11">
        <v>8070000</v>
      </c>
      <c r="Q156" s="3">
        <v>4167100000</v>
      </c>
      <c r="R156" s="3">
        <v>2686400000</v>
      </c>
      <c r="S156" s="11">
        <v>12100000</v>
      </c>
    </row>
    <row r="157" spans="1:19" x14ac:dyDescent="0.35">
      <c r="A157" s="1" t="s">
        <v>55</v>
      </c>
      <c r="B157" s="1" t="str">
        <f t="shared" si="6"/>
        <v>BOB Card</v>
      </c>
      <c r="C157">
        <v>532</v>
      </c>
      <c r="D157">
        <v>0</v>
      </c>
      <c r="E157">
        <v>1808</v>
      </c>
      <c r="F157" s="2">
        <v>466247.5</v>
      </c>
      <c r="G157" s="2">
        <v>0</v>
      </c>
      <c r="H157" s="2">
        <v>466247.5</v>
      </c>
      <c r="I157" s="2">
        <v>420520.5</v>
      </c>
      <c r="J157" s="2">
        <v>45727</v>
      </c>
      <c r="K157" s="3">
        <v>32008.9</v>
      </c>
      <c r="L157" s="3">
        <v>13718.1</v>
      </c>
      <c r="M157" s="3">
        <v>0</v>
      </c>
      <c r="N157" s="4" t="s">
        <v>64</v>
      </c>
      <c r="O157" s="3" t="str">
        <f t="shared" si="7"/>
        <v>Offline - F&amp;B</v>
      </c>
      <c r="P157" s="11">
        <v>8070000</v>
      </c>
      <c r="Q157" s="3">
        <v>4167100000</v>
      </c>
      <c r="R157" s="3">
        <v>2686400000</v>
      </c>
      <c r="S157" s="11">
        <v>12100000</v>
      </c>
    </row>
    <row r="158" spans="1:19" x14ac:dyDescent="0.35">
      <c r="A158" s="1" t="s">
        <v>56</v>
      </c>
      <c r="B158" s="1" t="str">
        <f t="shared" si="6"/>
        <v>BOB Card</v>
      </c>
      <c r="C158">
        <v>578</v>
      </c>
      <c r="D158">
        <v>0</v>
      </c>
      <c r="E158">
        <v>1639</v>
      </c>
      <c r="F158" s="2">
        <v>468476.66</v>
      </c>
      <c r="G158" s="2">
        <v>402004.2</v>
      </c>
      <c r="H158" s="2">
        <v>5740</v>
      </c>
      <c r="I158" s="2">
        <v>394020.66</v>
      </c>
      <c r="J158" s="2">
        <v>73022</v>
      </c>
      <c r="K158" s="3">
        <v>64259.360000000001</v>
      </c>
      <c r="L158" s="3">
        <v>8762.64</v>
      </c>
      <c r="M158" s="3">
        <v>59298.46</v>
      </c>
      <c r="N158" s="4" t="s">
        <v>64</v>
      </c>
      <c r="O158" s="3" t="str">
        <f t="shared" si="7"/>
        <v>Online</v>
      </c>
      <c r="P158" s="11">
        <v>8070000</v>
      </c>
      <c r="Q158" s="3">
        <v>4167100000</v>
      </c>
      <c r="R158" s="3">
        <v>2686400000</v>
      </c>
      <c r="S158" s="11">
        <v>12100000</v>
      </c>
    </row>
    <row r="159" spans="1:19" x14ac:dyDescent="0.35">
      <c r="A159" s="1" t="s">
        <v>61</v>
      </c>
      <c r="B159" s="1" t="str">
        <f t="shared" si="6"/>
        <v>DBS Bank</v>
      </c>
      <c r="C159">
        <v>8</v>
      </c>
      <c r="D159">
        <v>0</v>
      </c>
      <c r="E159">
        <v>17</v>
      </c>
      <c r="F159" s="2">
        <v>8121.72</v>
      </c>
      <c r="G159" s="2">
        <v>6051.56</v>
      </c>
      <c r="H159" s="2">
        <v>1930</v>
      </c>
      <c r="I159" s="2">
        <v>6913.72</v>
      </c>
      <c r="J159" s="2">
        <v>1200</v>
      </c>
      <c r="K159" s="3">
        <v>1200</v>
      </c>
      <c r="L159" s="3">
        <v>0</v>
      </c>
      <c r="M159" s="3">
        <v>132.16</v>
      </c>
      <c r="N159" s="4" t="s">
        <v>64</v>
      </c>
      <c r="O159" s="3" t="str">
        <f t="shared" si="7"/>
        <v>Online</v>
      </c>
      <c r="P159" s="11">
        <v>8070000</v>
      </c>
      <c r="Q159" s="3">
        <v>4167100000</v>
      </c>
      <c r="R159" s="3">
        <v>2686400000</v>
      </c>
      <c r="S159" s="11">
        <v>12100000</v>
      </c>
    </row>
    <row r="160" spans="1:19" x14ac:dyDescent="0.35">
      <c r="A160" s="1" t="s">
        <v>62</v>
      </c>
      <c r="B160" s="1" t="str">
        <f t="shared" si="6"/>
        <v>DBS Bank</v>
      </c>
      <c r="C160">
        <v>180</v>
      </c>
      <c r="D160">
        <v>0</v>
      </c>
      <c r="E160">
        <v>774</v>
      </c>
      <c r="F160" s="2">
        <v>198954.46</v>
      </c>
      <c r="G160" s="2">
        <v>0</v>
      </c>
      <c r="H160" s="2">
        <v>198954.46</v>
      </c>
      <c r="I160" s="2">
        <v>171954.46</v>
      </c>
      <c r="J160" s="2">
        <v>27000</v>
      </c>
      <c r="K160" s="3">
        <v>27000</v>
      </c>
      <c r="L160" s="3">
        <v>0</v>
      </c>
      <c r="M160" s="3">
        <v>0</v>
      </c>
      <c r="N160" s="4" t="s">
        <v>64</v>
      </c>
      <c r="O160" s="3" t="str">
        <f t="shared" si="7"/>
        <v>Offline - F&amp;B</v>
      </c>
      <c r="P160" s="11">
        <v>8070000</v>
      </c>
      <c r="Q160" s="3">
        <v>4167100000</v>
      </c>
      <c r="R160" s="3">
        <v>2686400000</v>
      </c>
      <c r="S160" s="11">
        <v>12100000</v>
      </c>
    </row>
    <row r="161" spans="1:19" x14ac:dyDescent="0.35">
      <c r="A161" s="1" t="s">
        <v>63</v>
      </c>
      <c r="B161" s="1" t="str">
        <f t="shared" si="6"/>
        <v>DBS Bank</v>
      </c>
      <c r="C161">
        <v>505</v>
      </c>
      <c r="D161">
        <v>505</v>
      </c>
      <c r="E161">
        <v>1255</v>
      </c>
      <c r="F161" s="2">
        <v>372360.79</v>
      </c>
      <c r="G161" s="2">
        <v>323148.89</v>
      </c>
      <c r="H161" s="2">
        <v>2050</v>
      </c>
      <c r="I161" s="2">
        <v>265839.63</v>
      </c>
      <c r="J161" s="2">
        <v>105469.16</v>
      </c>
      <c r="K161" s="3">
        <v>105469.16</v>
      </c>
      <c r="L161" s="3">
        <v>0</v>
      </c>
      <c r="M161" s="3">
        <v>46109.9</v>
      </c>
      <c r="N161" s="4" t="s">
        <v>64</v>
      </c>
      <c r="O161" s="3" t="str">
        <f t="shared" si="7"/>
        <v>Online</v>
      </c>
      <c r="P161" s="11">
        <v>8070000</v>
      </c>
      <c r="Q161" s="3">
        <v>4167100000</v>
      </c>
      <c r="R161" s="3">
        <v>2686400000</v>
      </c>
      <c r="S161" s="11">
        <v>12100000</v>
      </c>
    </row>
    <row r="162" spans="1:19" x14ac:dyDescent="0.35">
      <c r="A162" s="1" t="s">
        <v>25</v>
      </c>
      <c r="B162" s="1" t="str">
        <f t="shared" ref="B162:B193" si="8">IF(ISNUMBER(SEARCH("AXIS",A162)),"Axis Bank",
IF(ISNUMBER(SEARCH("HDFC",A162)),"HDFC Bank",
IF(ISNUMBER(SEARCH("ICICI",A162)),"ICICI Bank",
IF(ISNUMBER(SEARCH("AU",A162)),"AU Bank",
IF(ISNUMBER(SEARCH("KOTAK",A162)),"Kotak Mahindra Bank",
IF(ISNUMBER(SEARCH("SBI",A162)),"State Bank of India",
IF(ISNUMBER(SEARCH("HSBC",A162)),"HSBC",
IF(ISNUMBER(SEARCH("DBS",A162)),"DBS Bank",
IF(ISNUMBER(SEARCH("SCAPIA",A162)),"Scapia",
IF(ISNUMBER(SEARCH("STANDARD CHARTERED",A162)),"Standard Chartered Bank",
IF(ISNUMBER(SEARCH("IDBI",A162)),"IDBI Bank",
IF(ISNUMBER(SEARCH("J&amp;K",A162)),"J&amp;K Bank",
IF(ISNUMBER(SEARCH("JAMMU",A162)),"J&amp;K Bank",
IF(ISNUMBER(SEARCH("FEDERAL",A162)),"Federal Bank",
IF(ISNUMBER(SEARCH("BOBCARD",A162)),"BOB Card",
IF(ISNUMBER(SEARCH("BANK OF BARODA",A162)),"BOB Card",
IF(ISNUMBER(SEARCH("AMEX",A162)),"American Express",
IF(ISNUMBER(SEARCH("PLATINUM",A162)),"American Express",
IF(ISNUMBER(SEARCH("CENTURION",A162)),"American Express",
IF(ISNUMBER(SEARCH("VISA",A162)),"Visa",
IF(ISNUMBER(SEARCH("MASTERCARD",A162)),"Mastercard",
"")))))))))))))))))))))</f>
        <v>Federal Bank</v>
      </c>
      <c r="C162">
        <v>360</v>
      </c>
      <c r="D162">
        <v>360</v>
      </c>
      <c r="E162">
        <v>1061</v>
      </c>
      <c r="F162" s="2">
        <v>229147.76</v>
      </c>
      <c r="G162" s="2">
        <v>221868.76</v>
      </c>
      <c r="H162" s="2">
        <v>7279</v>
      </c>
      <c r="I162" s="2">
        <v>193349.55</v>
      </c>
      <c r="J162" s="2">
        <v>35798.21</v>
      </c>
      <c r="K162" s="3">
        <v>35798.21</v>
      </c>
      <c r="L162" s="3">
        <v>0</v>
      </c>
      <c r="M162" s="3">
        <v>0</v>
      </c>
      <c r="N162" s="4" t="s">
        <v>64</v>
      </c>
      <c r="O162" s="3" t="str">
        <f t="shared" si="7"/>
        <v>Offline - Box Office</v>
      </c>
      <c r="P162" s="11">
        <v>8070000</v>
      </c>
      <c r="Q162" s="3">
        <v>4167100000</v>
      </c>
      <c r="R162" s="3">
        <v>2686400000</v>
      </c>
      <c r="S162" s="11">
        <v>12100000</v>
      </c>
    </row>
    <row r="163" spans="1:19" x14ac:dyDescent="0.35">
      <c r="A163" s="1" t="s">
        <v>26</v>
      </c>
      <c r="B163" s="1" t="str">
        <f t="shared" si="8"/>
        <v>Federal Bank</v>
      </c>
      <c r="C163">
        <v>225</v>
      </c>
      <c r="D163">
        <v>225</v>
      </c>
      <c r="E163">
        <v>572</v>
      </c>
      <c r="F163" s="2">
        <v>138340.89000000001</v>
      </c>
      <c r="G163" s="2">
        <v>117650.57</v>
      </c>
      <c r="H163" s="2">
        <v>1510</v>
      </c>
      <c r="I163" s="2">
        <v>115886.38</v>
      </c>
      <c r="J163" s="2">
        <v>21944.51</v>
      </c>
      <c r="K163" s="3">
        <v>21944.51</v>
      </c>
      <c r="L163" s="3">
        <v>0</v>
      </c>
      <c r="M163" s="3">
        <v>18670.32</v>
      </c>
      <c r="N163" s="4" t="s">
        <v>64</v>
      </c>
      <c r="O163" s="3" t="str">
        <f t="shared" si="7"/>
        <v>Online</v>
      </c>
      <c r="P163" s="11">
        <v>8070000</v>
      </c>
      <c r="Q163" s="3">
        <v>4167100000</v>
      </c>
      <c r="R163" s="3">
        <v>2686400000</v>
      </c>
      <c r="S163" s="11">
        <v>12100000</v>
      </c>
    </row>
    <row r="164" spans="1:19" x14ac:dyDescent="0.35">
      <c r="A164" s="1" t="s">
        <v>27</v>
      </c>
      <c r="B164" s="1" t="str">
        <f t="shared" si="8"/>
        <v>Federal Bank</v>
      </c>
      <c r="C164">
        <v>27</v>
      </c>
      <c r="D164">
        <v>27</v>
      </c>
      <c r="E164">
        <v>77</v>
      </c>
      <c r="F164" s="2">
        <v>18125.259999999998</v>
      </c>
      <c r="G164" s="2">
        <v>18125.259999999998</v>
      </c>
      <c r="H164" s="2">
        <v>0</v>
      </c>
      <c r="I164" s="2">
        <v>15426.26</v>
      </c>
      <c r="J164" s="2">
        <v>2699</v>
      </c>
      <c r="K164" s="3">
        <v>2699</v>
      </c>
      <c r="L164" s="3">
        <v>0</v>
      </c>
      <c r="M164" s="3">
        <v>0</v>
      </c>
      <c r="N164" s="4" t="s">
        <v>64</v>
      </c>
      <c r="O164" s="3" t="str">
        <f t="shared" si="7"/>
        <v>Offline - Box Office</v>
      </c>
      <c r="P164" s="11">
        <v>8070000</v>
      </c>
      <c r="Q164" s="3">
        <v>4167100000</v>
      </c>
      <c r="R164" s="3">
        <v>2686400000</v>
      </c>
      <c r="S164" s="11">
        <v>12100000</v>
      </c>
    </row>
    <row r="165" spans="1:19" x14ac:dyDescent="0.35">
      <c r="A165" s="1" t="s">
        <v>28</v>
      </c>
      <c r="B165" s="1" t="str">
        <f t="shared" si="8"/>
        <v>Federal Bank</v>
      </c>
      <c r="C165">
        <v>22</v>
      </c>
      <c r="D165">
        <v>22</v>
      </c>
      <c r="E165">
        <v>59</v>
      </c>
      <c r="F165" s="2">
        <v>16005.82</v>
      </c>
      <c r="G165" s="2">
        <v>12948.28</v>
      </c>
      <c r="H165" s="2">
        <v>1020</v>
      </c>
      <c r="I165" s="2">
        <v>13740.82</v>
      </c>
      <c r="J165" s="2">
        <v>2199</v>
      </c>
      <c r="K165" s="3">
        <v>2199</v>
      </c>
      <c r="L165" s="3">
        <v>0</v>
      </c>
      <c r="M165" s="3">
        <v>1971.54</v>
      </c>
      <c r="N165" s="4" t="s">
        <v>64</v>
      </c>
      <c r="O165" s="3" t="str">
        <f t="shared" si="7"/>
        <v>Online</v>
      </c>
      <c r="P165" s="11">
        <v>8070000</v>
      </c>
      <c r="Q165" s="3">
        <v>4167100000</v>
      </c>
      <c r="R165" s="3">
        <v>2686400000</v>
      </c>
      <c r="S165" s="11">
        <v>12100000</v>
      </c>
    </row>
    <row r="166" spans="1:19" x14ac:dyDescent="0.35">
      <c r="A166" s="1" t="s">
        <v>29</v>
      </c>
      <c r="B166" s="1" t="str">
        <f t="shared" si="8"/>
        <v>Federal Bank</v>
      </c>
      <c r="C166">
        <v>80</v>
      </c>
      <c r="D166">
        <v>80</v>
      </c>
      <c r="E166">
        <v>255</v>
      </c>
      <c r="F166" s="2">
        <v>51338</v>
      </c>
      <c r="G166" s="2">
        <v>51263</v>
      </c>
      <c r="H166" s="2">
        <v>75</v>
      </c>
      <c r="I166" s="2">
        <v>43378.879999999997</v>
      </c>
      <c r="J166" s="2">
        <v>7959.12</v>
      </c>
      <c r="K166" s="3">
        <v>7959.12</v>
      </c>
      <c r="L166" s="3">
        <v>0</v>
      </c>
      <c r="M166" s="3">
        <v>0</v>
      </c>
      <c r="N166" s="4" t="s">
        <v>64</v>
      </c>
      <c r="O166" s="3" t="str">
        <f t="shared" si="7"/>
        <v>Offline - Box Office</v>
      </c>
      <c r="P166" s="11">
        <v>8070000</v>
      </c>
      <c r="Q166" s="3">
        <v>4167100000</v>
      </c>
      <c r="R166" s="3">
        <v>2686400000</v>
      </c>
      <c r="S166" s="11">
        <v>12100000</v>
      </c>
    </row>
    <row r="167" spans="1:19" x14ac:dyDescent="0.35">
      <c r="A167" s="1" t="s">
        <v>30</v>
      </c>
      <c r="B167" s="1" t="str">
        <f t="shared" si="8"/>
        <v>Federal Bank</v>
      </c>
      <c r="C167">
        <v>40</v>
      </c>
      <c r="D167">
        <v>40</v>
      </c>
      <c r="E167">
        <v>99</v>
      </c>
      <c r="F167" s="2">
        <v>27415.95</v>
      </c>
      <c r="G167" s="2">
        <v>22450.51</v>
      </c>
      <c r="H167" s="2">
        <v>1450</v>
      </c>
      <c r="I167" s="2">
        <v>23337.83</v>
      </c>
      <c r="J167" s="2">
        <v>3994.12</v>
      </c>
      <c r="K167" s="3">
        <v>3994.12</v>
      </c>
      <c r="L167" s="3">
        <v>0</v>
      </c>
      <c r="M167" s="3">
        <v>3431.44</v>
      </c>
      <c r="N167" s="4" t="s">
        <v>64</v>
      </c>
      <c r="O167" s="3" t="str">
        <f t="shared" si="7"/>
        <v>Online</v>
      </c>
      <c r="P167" s="11">
        <v>8070000</v>
      </c>
      <c r="Q167" s="3">
        <v>4167100000</v>
      </c>
      <c r="R167" s="3">
        <v>2686400000</v>
      </c>
      <c r="S167" s="11">
        <v>12100000</v>
      </c>
    </row>
    <row r="168" spans="1:19" x14ac:dyDescent="0.35">
      <c r="A168" s="1" t="s">
        <v>31</v>
      </c>
      <c r="B168" s="1" t="str">
        <f t="shared" si="8"/>
        <v>HSBC</v>
      </c>
      <c r="C168">
        <v>11</v>
      </c>
      <c r="D168">
        <v>0</v>
      </c>
      <c r="E168">
        <v>26</v>
      </c>
      <c r="F168" s="2">
        <v>18716.900000000001</v>
      </c>
      <c r="G168" s="2">
        <v>15588</v>
      </c>
      <c r="H168" s="2">
        <v>1030</v>
      </c>
      <c r="I168" s="2">
        <v>17129.900000000001</v>
      </c>
      <c r="J168" s="2">
        <v>1559</v>
      </c>
      <c r="K168" s="3">
        <v>779.5</v>
      </c>
      <c r="L168" s="3">
        <v>779.5</v>
      </c>
      <c r="M168" s="3">
        <v>2070.9</v>
      </c>
      <c r="N168" s="4" t="s">
        <v>64</v>
      </c>
      <c r="O168" s="3" t="str">
        <f t="shared" si="7"/>
        <v>Online</v>
      </c>
      <c r="P168" s="11">
        <v>8070000</v>
      </c>
      <c r="Q168" s="3">
        <v>4167100000</v>
      </c>
      <c r="R168" s="3">
        <v>2686400000</v>
      </c>
      <c r="S168" s="11">
        <v>12100000</v>
      </c>
    </row>
    <row r="169" spans="1:19" x14ac:dyDescent="0.35">
      <c r="A169" s="1" t="s">
        <v>32</v>
      </c>
      <c r="B169" s="1" t="str">
        <f t="shared" si="8"/>
        <v>ICICI Bank</v>
      </c>
      <c r="C169">
        <v>3141</v>
      </c>
      <c r="D169">
        <v>0</v>
      </c>
      <c r="E169">
        <v>8851</v>
      </c>
      <c r="F169" s="2">
        <v>2039637.77</v>
      </c>
      <c r="G169" s="2">
        <v>2037389.77</v>
      </c>
      <c r="H169" s="2">
        <v>2248</v>
      </c>
      <c r="I169" s="2">
        <v>1726980.77</v>
      </c>
      <c r="J169" s="2">
        <v>312657</v>
      </c>
      <c r="K169" s="3">
        <v>275138.15999999997</v>
      </c>
      <c r="L169" s="3">
        <v>37518.839999999997</v>
      </c>
      <c r="M169" s="3">
        <v>0</v>
      </c>
      <c r="N169" s="4" t="s">
        <v>64</v>
      </c>
      <c r="O169" s="3" t="str">
        <f t="shared" si="7"/>
        <v>Offline - Box Office</v>
      </c>
      <c r="P169" s="11">
        <v>8070000</v>
      </c>
      <c r="Q169" s="3">
        <v>4167100000</v>
      </c>
      <c r="R169" s="3">
        <v>2686400000</v>
      </c>
      <c r="S169" s="11">
        <v>12100000</v>
      </c>
    </row>
    <row r="170" spans="1:19" x14ac:dyDescent="0.35">
      <c r="A170" s="1" t="s">
        <v>33</v>
      </c>
      <c r="B170" s="1" t="str">
        <f t="shared" si="8"/>
        <v>ICICI Bank</v>
      </c>
      <c r="C170">
        <v>1421</v>
      </c>
      <c r="D170">
        <v>0</v>
      </c>
      <c r="E170">
        <v>3899</v>
      </c>
      <c r="F170" s="2">
        <v>1055875.24</v>
      </c>
      <c r="G170" s="2">
        <v>897298.78</v>
      </c>
      <c r="H170" s="2">
        <v>24570</v>
      </c>
      <c r="I170" s="2">
        <v>909480.24</v>
      </c>
      <c r="J170" s="2">
        <v>143035</v>
      </c>
      <c r="K170" s="3">
        <v>121579.75</v>
      </c>
      <c r="L170" s="3">
        <v>21455.25</v>
      </c>
      <c r="M170" s="3">
        <v>130646.46</v>
      </c>
      <c r="N170" s="4" t="s">
        <v>64</v>
      </c>
      <c r="O170" s="3" t="str">
        <f t="shared" si="7"/>
        <v>Online</v>
      </c>
      <c r="P170" s="11">
        <v>8070000</v>
      </c>
      <c r="Q170" s="3">
        <v>4167100000</v>
      </c>
      <c r="R170" s="3">
        <v>2686400000</v>
      </c>
      <c r="S170" s="11">
        <v>12100000</v>
      </c>
    </row>
    <row r="171" spans="1:19" x14ac:dyDescent="0.35">
      <c r="A171" s="1" t="s">
        <v>34</v>
      </c>
      <c r="B171" s="1" t="str">
        <f t="shared" si="8"/>
        <v>ICICI Bank</v>
      </c>
      <c r="C171">
        <v>498</v>
      </c>
      <c r="D171">
        <v>0</v>
      </c>
      <c r="E171">
        <v>1374</v>
      </c>
      <c r="F171" s="2">
        <v>330083.08</v>
      </c>
      <c r="G171" s="2">
        <v>330083.08</v>
      </c>
      <c r="H171" s="2">
        <v>0</v>
      </c>
      <c r="I171" s="2">
        <v>303650.08</v>
      </c>
      <c r="J171" s="2">
        <v>26433</v>
      </c>
      <c r="K171" s="3">
        <v>23261.040000000001</v>
      </c>
      <c r="L171" s="3">
        <v>3171.96</v>
      </c>
      <c r="M171" s="3">
        <v>0</v>
      </c>
      <c r="N171" s="4" t="s">
        <v>64</v>
      </c>
      <c r="O171" s="3" t="str">
        <f t="shared" si="7"/>
        <v>Offline - Box Office</v>
      </c>
      <c r="P171" s="11">
        <v>8070000</v>
      </c>
      <c r="Q171" s="3">
        <v>4167100000</v>
      </c>
      <c r="R171" s="3">
        <v>2686400000</v>
      </c>
      <c r="S171" s="11">
        <v>12100000</v>
      </c>
    </row>
    <row r="172" spans="1:19" x14ac:dyDescent="0.35">
      <c r="A172" s="1" t="s">
        <v>35</v>
      </c>
      <c r="B172" s="1" t="str">
        <f t="shared" si="8"/>
        <v>ICICI Bank</v>
      </c>
      <c r="C172">
        <v>134</v>
      </c>
      <c r="D172">
        <v>0</v>
      </c>
      <c r="E172">
        <v>380</v>
      </c>
      <c r="F172" s="2">
        <v>101464.74</v>
      </c>
      <c r="G172" s="2">
        <v>85156.02</v>
      </c>
      <c r="H172" s="2">
        <v>3620</v>
      </c>
      <c r="I172" s="2">
        <v>93652.74</v>
      </c>
      <c r="J172" s="2">
        <v>7442</v>
      </c>
      <c r="K172" s="3">
        <v>6325.7</v>
      </c>
      <c r="L172" s="3">
        <v>1116.3</v>
      </c>
      <c r="M172" s="3">
        <v>12318.72</v>
      </c>
      <c r="N172" s="4" t="s">
        <v>64</v>
      </c>
      <c r="O172" s="3" t="str">
        <f t="shared" si="7"/>
        <v>Online</v>
      </c>
      <c r="P172" s="11">
        <v>8070000</v>
      </c>
      <c r="Q172" s="3">
        <v>4167100000</v>
      </c>
      <c r="R172" s="3">
        <v>2686400000</v>
      </c>
      <c r="S172" s="11">
        <v>12100000</v>
      </c>
    </row>
    <row r="173" spans="1:19" x14ac:dyDescent="0.35">
      <c r="A173" s="1" t="s">
        <v>51</v>
      </c>
      <c r="B173" s="1" t="str">
        <f t="shared" si="8"/>
        <v>Kotak Mahindra Bank</v>
      </c>
      <c r="C173">
        <v>14</v>
      </c>
      <c r="D173">
        <v>0</v>
      </c>
      <c r="E173">
        <v>37</v>
      </c>
      <c r="F173" s="2">
        <v>30444.02</v>
      </c>
      <c r="G173" s="2">
        <v>27660</v>
      </c>
      <c r="H173" s="2">
        <v>0</v>
      </c>
      <c r="I173" s="2">
        <v>24750.02</v>
      </c>
      <c r="J173" s="2">
        <v>5670</v>
      </c>
      <c r="K173" s="3">
        <v>4536</v>
      </c>
      <c r="L173" s="3">
        <v>1134</v>
      </c>
      <c r="M173" s="3">
        <v>2760.02</v>
      </c>
      <c r="N173" s="4" t="s">
        <v>64</v>
      </c>
      <c r="O173" s="3" t="str">
        <f t="shared" si="7"/>
        <v>Online</v>
      </c>
      <c r="P173" s="11">
        <v>8070000</v>
      </c>
      <c r="Q173" s="3">
        <v>4167100000</v>
      </c>
      <c r="R173" s="3">
        <v>2686400000</v>
      </c>
      <c r="S173" s="11">
        <v>12100000</v>
      </c>
    </row>
    <row r="174" spans="1:19" x14ac:dyDescent="0.35">
      <c r="A174" s="1" t="s">
        <v>52</v>
      </c>
      <c r="B174" s="1" t="str">
        <f t="shared" si="8"/>
        <v>Kotak Mahindra Bank</v>
      </c>
      <c r="C174">
        <v>15</v>
      </c>
      <c r="D174">
        <v>15</v>
      </c>
      <c r="E174">
        <v>32</v>
      </c>
      <c r="F174" s="2">
        <v>29694.94</v>
      </c>
      <c r="G174" s="2">
        <v>27260</v>
      </c>
      <c r="H174" s="2">
        <v>0</v>
      </c>
      <c r="I174" s="2">
        <v>19108.939999999999</v>
      </c>
      <c r="J174" s="2">
        <v>10550</v>
      </c>
      <c r="K174" s="3">
        <v>10550</v>
      </c>
      <c r="L174" s="3">
        <v>0</v>
      </c>
      <c r="M174" s="3">
        <v>2398.94</v>
      </c>
      <c r="N174" s="4" t="s">
        <v>64</v>
      </c>
      <c r="O174" s="3" t="str">
        <f t="shared" si="7"/>
        <v>Online</v>
      </c>
      <c r="P174" s="11">
        <v>8070000</v>
      </c>
      <c r="Q174" s="3">
        <v>4167100000</v>
      </c>
      <c r="R174" s="3">
        <v>2686400000</v>
      </c>
      <c r="S174" s="11">
        <v>12100000</v>
      </c>
    </row>
    <row r="175" spans="1:19" x14ac:dyDescent="0.35">
      <c r="A175" s="1" t="s">
        <v>38</v>
      </c>
      <c r="B175" s="1" t="str">
        <f t="shared" si="8"/>
        <v>Kotak Mahindra Bank</v>
      </c>
      <c r="C175">
        <v>6292</v>
      </c>
      <c r="D175">
        <v>0</v>
      </c>
      <c r="E175">
        <v>15801</v>
      </c>
      <c r="F175" s="2">
        <v>3476566.4</v>
      </c>
      <c r="G175" s="2">
        <v>122055.26</v>
      </c>
      <c r="H175" s="2">
        <v>3352514.4</v>
      </c>
      <c r="I175" s="2">
        <v>2784254.4</v>
      </c>
      <c r="J175" s="2">
        <v>692254</v>
      </c>
      <c r="K175" s="3">
        <v>0</v>
      </c>
      <c r="L175" s="3">
        <v>692254</v>
      </c>
      <c r="M175" s="3">
        <v>1938.74</v>
      </c>
      <c r="N175" s="4" t="s">
        <v>64</v>
      </c>
      <c r="O175" s="3" t="str">
        <f t="shared" si="7"/>
        <v>Other</v>
      </c>
      <c r="P175" s="11">
        <v>8070000</v>
      </c>
      <c r="Q175" s="3">
        <v>4167100000</v>
      </c>
      <c r="R175" s="3">
        <v>2686400000</v>
      </c>
      <c r="S175" s="11">
        <v>12100000</v>
      </c>
    </row>
    <row r="176" spans="1:19" x14ac:dyDescent="0.35">
      <c r="A176" s="1" t="s">
        <v>57</v>
      </c>
      <c r="B176" s="1" t="str">
        <f t="shared" si="8"/>
        <v>Kotak Mahindra Bank</v>
      </c>
      <c r="C176">
        <v>5380</v>
      </c>
      <c r="D176">
        <v>0</v>
      </c>
      <c r="E176">
        <v>13443</v>
      </c>
      <c r="F176" s="2">
        <v>3140204.88</v>
      </c>
      <c r="G176" s="2">
        <v>127187.2</v>
      </c>
      <c r="H176" s="2">
        <v>3010731.18</v>
      </c>
      <c r="I176" s="2">
        <v>2377122.88</v>
      </c>
      <c r="J176" s="2">
        <v>763008</v>
      </c>
      <c r="K176" s="3">
        <v>0</v>
      </c>
      <c r="L176" s="3">
        <v>763008</v>
      </c>
      <c r="M176" s="3">
        <v>2212.5</v>
      </c>
      <c r="N176" s="4" t="s">
        <v>64</v>
      </c>
      <c r="O176" s="3" t="str">
        <f t="shared" si="7"/>
        <v>Other</v>
      </c>
      <c r="P176" s="11">
        <v>8070000</v>
      </c>
      <c r="Q176" s="3">
        <v>4167100000</v>
      </c>
      <c r="R176" s="3">
        <v>2686400000</v>
      </c>
      <c r="S176" s="11">
        <v>12100000</v>
      </c>
    </row>
    <row r="177" spans="1:19" x14ac:dyDescent="0.35">
      <c r="A177" s="1" t="s">
        <v>58</v>
      </c>
      <c r="B177" s="1" t="str">
        <f t="shared" si="8"/>
        <v>Kotak Mahindra Bank</v>
      </c>
      <c r="C177">
        <v>2620</v>
      </c>
      <c r="D177">
        <v>0</v>
      </c>
      <c r="E177">
        <v>6778</v>
      </c>
      <c r="F177" s="2">
        <v>1737233.09</v>
      </c>
      <c r="G177" s="2">
        <v>1653049.49</v>
      </c>
      <c r="H177" s="2">
        <v>5135.1000000000004</v>
      </c>
      <c r="I177" s="2">
        <v>1668927.07</v>
      </c>
      <c r="J177" s="2">
        <v>66950</v>
      </c>
      <c r="K177" s="3">
        <v>0</v>
      </c>
      <c r="L177" s="3">
        <v>66950</v>
      </c>
      <c r="M177" s="3">
        <v>77692.5</v>
      </c>
      <c r="N177" s="4" t="s">
        <v>64</v>
      </c>
      <c r="O177" s="3" t="str">
        <f t="shared" si="7"/>
        <v>Other</v>
      </c>
      <c r="P177" s="11">
        <v>8070000</v>
      </c>
      <c r="Q177" s="3">
        <v>4167100000</v>
      </c>
      <c r="R177" s="3">
        <v>2686400000</v>
      </c>
      <c r="S177" s="11">
        <v>12100000</v>
      </c>
    </row>
    <row r="178" spans="1:19" x14ac:dyDescent="0.35">
      <c r="A178" s="1" t="s">
        <v>65</v>
      </c>
      <c r="B178" s="1" t="str">
        <f t="shared" si="8"/>
        <v>State Bank of India</v>
      </c>
      <c r="C178">
        <v>337</v>
      </c>
      <c r="D178">
        <v>0</v>
      </c>
      <c r="E178">
        <v>1006</v>
      </c>
      <c r="F178" s="2">
        <v>342276.46</v>
      </c>
      <c r="G178" s="2">
        <v>291726.48</v>
      </c>
      <c r="H178" s="2">
        <v>9805</v>
      </c>
      <c r="I178" s="2">
        <v>314748.46000000002</v>
      </c>
      <c r="J178" s="2">
        <v>26764</v>
      </c>
      <c r="K178" s="3">
        <v>13382</v>
      </c>
      <c r="L178" s="3">
        <v>13382</v>
      </c>
      <c r="M178" s="3">
        <v>39980.980000000003</v>
      </c>
      <c r="N178" s="4" t="s">
        <v>64</v>
      </c>
      <c r="O178" s="3" t="str">
        <f t="shared" si="7"/>
        <v>Online</v>
      </c>
      <c r="P178" s="11">
        <v>8070000</v>
      </c>
      <c r="Q178" s="3">
        <v>4167100000</v>
      </c>
      <c r="R178" s="3">
        <v>2686400000</v>
      </c>
      <c r="S178" s="11">
        <v>12100000</v>
      </c>
    </row>
    <row r="179" spans="1:19" x14ac:dyDescent="0.35">
      <c r="A179" s="1" t="s">
        <v>66</v>
      </c>
      <c r="B179" s="1" t="str">
        <f t="shared" si="8"/>
        <v>State Bank of India</v>
      </c>
      <c r="C179">
        <v>1856</v>
      </c>
      <c r="D179">
        <v>0</v>
      </c>
      <c r="E179">
        <v>7086</v>
      </c>
      <c r="F179" s="2">
        <v>1615670.35</v>
      </c>
      <c r="G179" s="2">
        <v>0</v>
      </c>
      <c r="H179" s="2">
        <v>1615670.35</v>
      </c>
      <c r="I179" s="2">
        <v>1472294.35</v>
      </c>
      <c r="J179" s="2">
        <v>143376</v>
      </c>
      <c r="K179" s="3">
        <v>71688</v>
      </c>
      <c r="L179" s="3">
        <v>71688</v>
      </c>
      <c r="M179" s="3">
        <v>0</v>
      </c>
      <c r="N179" s="4" t="s">
        <v>64</v>
      </c>
      <c r="O179" s="3" t="str">
        <f t="shared" si="7"/>
        <v>Offline - F&amp;B</v>
      </c>
      <c r="P179" s="11">
        <v>8070000</v>
      </c>
      <c r="Q179" s="3">
        <v>4167100000</v>
      </c>
      <c r="R179" s="3">
        <v>2686400000</v>
      </c>
      <c r="S179" s="11">
        <v>12100000</v>
      </c>
    </row>
    <row r="180" spans="1:19" x14ac:dyDescent="0.35">
      <c r="A180" s="1" t="s">
        <v>67</v>
      </c>
      <c r="B180" s="1" t="str">
        <f t="shared" si="8"/>
        <v>Scapia</v>
      </c>
      <c r="C180">
        <v>62</v>
      </c>
      <c r="D180">
        <v>62</v>
      </c>
      <c r="E180">
        <v>151</v>
      </c>
      <c r="F180" s="2">
        <v>30108.2</v>
      </c>
      <c r="G180" s="2">
        <v>25569.7</v>
      </c>
      <c r="H180" s="2">
        <v>580</v>
      </c>
      <c r="I180" s="2">
        <v>23766.2</v>
      </c>
      <c r="J180" s="2">
        <v>6182</v>
      </c>
      <c r="K180" s="3">
        <v>6182</v>
      </c>
      <c r="L180" s="3">
        <v>0</v>
      </c>
      <c r="M180" s="3">
        <v>3798.5</v>
      </c>
      <c r="N180" s="4" t="s">
        <v>64</v>
      </c>
      <c r="O180" s="3" t="str">
        <f t="shared" si="7"/>
        <v>Online</v>
      </c>
      <c r="P180" s="11">
        <v>8070000</v>
      </c>
      <c r="Q180" s="3">
        <v>4167100000</v>
      </c>
      <c r="R180" s="3">
        <v>2686400000</v>
      </c>
      <c r="S180" s="11">
        <v>12100000</v>
      </c>
    </row>
    <row r="181" spans="1:19" x14ac:dyDescent="0.35">
      <c r="A181" s="1" t="s">
        <v>40</v>
      </c>
      <c r="B181" s="1" t="str">
        <f t="shared" si="8"/>
        <v>Standard Chartered Bank</v>
      </c>
      <c r="C181">
        <v>22</v>
      </c>
      <c r="D181">
        <v>22</v>
      </c>
      <c r="E181">
        <v>55</v>
      </c>
      <c r="F181" s="2">
        <v>14623.12</v>
      </c>
      <c r="G181" s="2">
        <v>14384.12</v>
      </c>
      <c r="H181" s="2">
        <v>239</v>
      </c>
      <c r="I181" s="2">
        <v>10554.34</v>
      </c>
      <c r="J181" s="2">
        <v>4068.78</v>
      </c>
      <c r="K181" s="3">
        <v>4068.78</v>
      </c>
      <c r="L181" s="3">
        <v>0</v>
      </c>
      <c r="M181" s="3">
        <v>0</v>
      </c>
      <c r="N181" s="4" t="s">
        <v>64</v>
      </c>
      <c r="O181" s="3" t="str">
        <f t="shared" si="7"/>
        <v>Offline - Box Office</v>
      </c>
      <c r="P181" s="11">
        <v>8070000</v>
      </c>
      <c r="Q181" s="3">
        <v>4167100000</v>
      </c>
      <c r="R181" s="3">
        <v>2686400000</v>
      </c>
      <c r="S181" s="11">
        <v>12100000</v>
      </c>
    </row>
    <row r="182" spans="1:19" x14ac:dyDescent="0.35">
      <c r="A182" s="1" t="s">
        <v>41</v>
      </c>
      <c r="B182" s="1" t="str">
        <f t="shared" si="8"/>
        <v>Standard Chartered Bank</v>
      </c>
      <c r="C182">
        <v>90</v>
      </c>
      <c r="D182">
        <v>90</v>
      </c>
      <c r="E182">
        <v>198</v>
      </c>
      <c r="F182" s="2">
        <v>56376.480000000003</v>
      </c>
      <c r="G182" s="2">
        <v>49221.3</v>
      </c>
      <c r="H182" s="2">
        <v>180</v>
      </c>
      <c r="I182" s="2">
        <v>39283.79</v>
      </c>
      <c r="J182" s="2">
        <v>16920.689999999999</v>
      </c>
      <c r="K182" s="3">
        <v>16920.689999999999</v>
      </c>
      <c r="L182" s="3">
        <v>0</v>
      </c>
      <c r="M182" s="3">
        <v>6803.18</v>
      </c>
      <c r="N182" s="4" t="s">
        <v>64</v>
      </c>
      <c r="O182" s="3" t="str">
        <f t="shared" si="7"/>
        <v>Online</v>
      </c>
      <c r="P182" s="11">
        <v>8070000</v>
      </c>
      <c r="Q182" s="3">
        <v>4167100000</v>
      </c>
      <c r="R182" s="3">
        <v>2686400000</v>
      </c>
      <c r="S182" s="11">
        <v>12100000</v>
      </c>
    </row>
    <row r="183" spans="1:19" x14ac:dyDescent="0.35">
      <c r="A183" s="1" t="s">
        <v>68</v>
      </c>
      <c r="B183" s="1" t="s">
        <v>69</v>
      </c>
      <c r="C183">
        <v>128</v>
      </c>
      <c r="D183">
        <v>128</v>
      </c>
      <c r="E183">
        <v>372</v>
      </c>
      <c r="F183" s="2">
        <v>156659.42000000001</v>
      </c>
      <c r="G183" s="2">
        <v>156359.42000000001</v>
      </c>
      <c r="H183" s="2">
        <v>300</v>
      </c>
      <c r="I183" s="2">
        <v>110379.1</v>
      </c>
      <c r="J183" s="2">
        <v>46280.32</v>
      </c>
      <c r="K183" s="3">
        <v>23140.16</v>
      </c>
      <c r="L183" s="3">
        <v>23140.16</v>
      </c>
      <c r="M183" s="3">
        <v>0</v>
      </c>
      <c r="N183" s="4" t="s">
        <v>70</v>
      </c>
      <c r="O183" s="3" t="str">
        <f t="shared" si="7"/>
        <v>Offline - Box Office</v>
      </c>
      <c r="P183" s="11">
        <v>6121000</v>
      </c>
      <c r="Q183" s="3">
        <v>3267500000</v>
      </c>
      <c r="R183" s="3">
        <v>2080300000</v>
      </c>
      <c r="S183" s="11">
        <v>8686000</v>
      </c>
    </row>
    <row r="184" spans="1:19" x14ac:dyDescent="0.35">
      <c r="A184" s="1" t="s">
        <v>71</v>
      </c>
      <c r="B184" s="1" t="s">
        <v>69</v>
      </c>
      <c r="C184">
        <v>412</v>
      </c>
      <c r="D184">
        <v>412</v>
      </c>
      <c r="E184">
        <v>1120</v>
      </c>
      <c r="F184" s="2">
        <v>694017.72</v>
      </c>
      <c r="G184" s="2">
        <v>614784.22</v>
      </c>
      <c r="H184" s="2">
        <v>6510</v>
      </c>
      <c r="I184" s="2">
        <v>526459.07999999996</v>
      </c>
      <c r="J184" s="2">
        <v>166216.64000000001</v>
      </c>
      <c r="K184" s="3">
        <v>83108.320000000007</v>
      </c>
      <c r="L184" s="3">
        <v>83108.320000000007</v>
      </c>
      <c r="M184" s="3">
        <v>71381.5</v>
      </c>
      <c r="N184" s="4" t="s">
        <v>70</v>
      </c>
      <c r="O184" s="3" t="str">
        <f t="shared" si="7"/>
        <v>Online</v>
      </c>
      <c r="P184" s="11">
        <v>6121000</v>
      </c>
      <c r="Q184" s="3">
        <v>3267500000</v>
      </c>
      <c r="R184" s="3">
        <v>2080300000</v>
      </c>
      <c r="S184" s="11">
        <v>8686000</v>
      </c>
    </row>
    <row r="185" spans="1:19" x14ac:dyDescent="0.35">
      <c r="A185" s="1" t="s">
        <v>59</v>
      </c>
      <c r="B185" s="1" t="str">
        <f t="shared" ref="B185:B216" si="9">IF(ISNUMBER(SEARCH("AXIS",A185)),"Axis Bank",
IF(ISNUMBER(SEARCH("HDFC",A185)),"HDFC Bank",
IF(ISNUMBER(SEARCH("ICICI",A185)),"ICICI Bank",
IF(ISNUMBER(SEARCH("AU",A185)),"AU Bank",
IF(ISNUMBER(SEARCH("KOTAK",A185)),"Kotak Mahindra Bank",
IF(ISNUMBER(SEARCH("SBI",A185)),"State Bank of India",
IF(ISNUMBER(SEARCH("HSBC",A185)),"HSBC",
IF(ISNUMBER(SEARCH("DBS",A185)),"DBS Bank",
IF(ISNUMBER(SEARCH("SCAPIA",A185)),"Scapia",
IF(ISNUMBER(SEARCH("STANDARD CHARTERED",A185)),"Standard Chartered Bank",
IF(ISNUMBER(SEARCH("IDBI",A185)),"IDBI Bank",
IF(ISNUMBER(SEARCH("J&amp;K",A185)),"J&amp;K Bank",
IF(ISNUMBER(SEARCH("JAMMU",A185)),"J&amp;K Bank",
IF(ISNUMBER(SEARCH("FEDERAL",A185)),"Federal Bank",
IF(ISNUMBER(SEARCH("BOBCARD",A185)),"BOB Card",
IF(ISNUMBER(SEARCH("BANK OF BARODA",A185)),"BOB Card",
IF(ISNUMBER(SEARCH("AMEX",A185)),"American Express",
IF(ISNUMBER(SEARCH("PLATINUM",A185)),"American Express",
IF(ISNUMBER(SEARCH("CENTURION",A185)),"American Express",
IF(ISNUMBER(SEARCH("VISA",A185)),"Visa",
IF(ISNUMBER(SEARCH("MASTERCARD",A185)),"Mastercard",
"")))))))))))))))))))))</f>
        <v>AU Bank</v>
      </c>
      <c r="C185">
        <v>2</v>
      </c>
      <c r="D185">
        <v>0</v>
      </c>
      <c r="E185">
        <v>4</v>
      </c>
      <c r="F185" s="2">
        <v>1780</v>
      </c>
      <c r="G185" s="2">
        <v>1780</v>
      </c>
      <c r="H185" s="2">
        <v>0</v>
      </c>
      <c r="I185" s="2">
        <v>1580</v>
      </c>
      <c r="J185" s="2">
        <v>200</v>
      </c>
      <c r="K185" s="3">
        <v>200</v>
      </c>
      <c r="L185" s="3">
        <v>0</v>
      </c>
      <c r="M185" s="3">
        <v>0</v>
      </c>
      <c r="N185" s="4" t="s">
        <v>70</v>
      </c>
      <c r="O185" s="3" t="str">
        <f t="shared" si="7"/>
        <v>Offline - Box Office</v>
      </c>
      <c r="P185" s="11">
        <v>6121000</v>
      </c>
      <c r="Q185" s="3">
        <v>3267500000</v>
      </c>
      <c r="R185" s="3">
        <v>2080300000</v>
      </c>
      <c r="S185" s="11">
        <v>8686000</v>
      </c>
    </row>
    <row r="186" spans="1:19" x14ac:dyDescent="0.35">
      <c r="A186" s="1" t="s">
        <v>19</v>
      </c>
      <c r="B186" s="1" t="str">
        <f t="shared" si="9"/>
        <v>AU Bank</v>
      </c>
      <c r="C186">
        <v>217</v>
      </c>
      <c r="D186">
        <v>0</v>
      </c>
      <c r="E186">
        <v>618</v>
      </c>
      <c r="F186" s="2">
        <v>248234.04</v>
      </c>
      <c r="G186" s="2">
        <v>210023.1</v>
      </c>
      <c r="H186" s="2">
        <v>9150</v>
      </c>
      <c r="I186" s="2">
        <v>225992.04</v>
      </c>
      <c r="J186" s="2">
        <v>21700</v>
      </c>
      <c r="K186" s="3">
        <v>21700</v>
      </c>
      <c r="L186" s="3">
        <v>0</v>
      </c>
      <c r="M186" s="3">
        <v>28518.94</v>
      </c>
      <c r="N186" s="4" t="s">
        <v>70</v>
      </c>
      <c r="O186" s="3" t="str">
        <f t="shared" si="7"/>
        <v>Online</v>
      </c>
      <c r="P186" s="11">
        <v>6121000</v>
      </c>
      <c r="Q186" s="3">
        <v>3267500000</v>
      </c>
      <c r="R186" s="3">
        <v>2080300000</v>
      </c>
      <c r="S186" s="11">
        <v>8686000</v>
      </c>
    </row>
    <row r="187" spans="1:19" x14ac:dyDescent="0.35">
      <c r="A187" s="1" t="s">
        <v>21</v>
      </c>
      <c r="B187" s="1" t="str">
        <f t="shared" si="9"/>
        <v>AU Bank</v>
      </c>
      <c r="C187">
        <v>49</v>
      </c>
      <c r="D187">
        <v>0</v>
      </c>
      <c r="E187">
        <v>60</v>
      </c>
      <c r="F187" s="2">
        <v>26345.32</v>
      </c>
      <c r="G187" s="2">
        <v>23928</v>
      </c>
      <c r="H187" s="2">
        <v>2210</v>
      </c>
      <c r="I187" s="2">
        <v>21443.32</v>
      </c>
      <c r="J187" s="2">
        <v>4900</v>
      </c>
      <c r="K187" s="3">
        <v>3430</v>
      </c>
      <c r="L187" s="3">
        <v>1470</v>
      </c>
      <c r="M187" s="3">
        <v>205.32</v>
      </c>
      <c r="N187" s="4" t="s">
        <v>70</v>
      </c>
      <c r="O187" s="3" t="str">
        <f t="shared" si="7"/>
        <v>Online</v>
      </c>
      <c r="P187" s="11">
        <v>6121000</v>
      </c>
      <c r="Q187" s="3">
        <v>3267500000</v>
      </c>
      <c r="R187" s="3">
        <v>2080300000</v>
      </c>
      <c r="S187" s="11">
        <v>8686000</v>
      </c>
    </row>
    <row r="188" spans="1:19" x14ac:dyDescent="0.35">
      <c r="A188" s="1" t="s">
        <v>22</v>
      </c>
      <c r="B188" s="1" t="str">
        <f t="shared" si="9"/>
        <v>AU Bank</v>
      </c>
      <c r="C188">
        <v>502</v>
      </c>
      <c r="D188">
        <v>0</v>
      </c>
      <c r="E188">
        <v>1376</v>
      </c>
      <c r="F188" s="2">
        <v>364295.69</v>
      </c>
      <c r="G188" s="2">
        <v>0</v>
      </c>
      <c r="H188" s="2">
        <v>364295.69</v>
      </c>
      <c r="I188" s="2">
        <v>314095.69</v>
      </c>
      <c r="J188" s="2">
        <v>50200</v>
      </c>
      <c r="K188" s="3">
        <v>35140</v>
      </c>
      <c r="L188" s="3">
        <v>15060</v>
      </c>
      <c r="M188" s="3">
        <v>0</v>
      </c>
      <c r="N188" s="4" t="s">
        <v>70</v>
      </c>
      <c r="O188" s="3" t="str">
        <f t="shared" si="7"/>
        <v>Offline - F&amp;B</v>
      </c>
      <c r="P188" s="11">
        <v>6121000</v>
      </c>
      <c r="Q188" s="3">
        <v>3267500000</v>
      </c>
      <c r="R188" s="3">
        <v>2080300000</v>
      </c>
      <c r="S188" s="11">
        <v>8686000</v>
      </c>
    </row>
    <row r="189" spans="1:19" x14ac:dyDescent="0.35">
      <c r="A189" s="1" t="s">
        <v>43</v>
      </c>
      <c r="B189" s="1" t="str">
        <f t="shared" si="9"/>
        <v>Axis Bank</v>
      </c>
      <c r="C189">
        <v>16</v>
      </c>
      <c r="D189">
        <v>16</v>
      </c>
      <c r="E189">
        <v>45</v>
      </c>
      <c r="F189" s="2">
        <v>11880.56</v>
      </c>
      <c r="G189" s="2">
        <v>11880.56</v>
      </c>
      <c r="H189" s="2">
        <v>0</v>
      </c>
      <c r="I189" s="2">
        <v>8752.7800000000007</v>
      </c>
      <c r="J189" s="2">
        <v>3127.78</v>
      </c>
      <c r="K189" s="3">
        <v>2752.45</v>
      </c>
      <c r="L189" s="3">
        <v>375.33</v>
      </c>
      <c r="M189" s="3">
        <v>0</v>
      </c>
      <c r="N189" s="4" t="s">
        <v>70</v>
      </c>
      <c r="O189" s="3" t="str">
        <f t="shared" si="7"/>
        <v>Offline - Box Office</v>
      </c>
      <c r="P189" s="11">
        <v>6121000</v>
      </c>
      <c r="Q189" s="3">
        <v>3267500000</v>
      </c>
      <c r="R189" s="3">
        <v>2080300000</v>
      </c>
      <c r="S189" s="11">
        <v>8686000</v>
      </c>
    </row>
    <row r="190" spans="1:19" x14ac:dyDescent="0.35">
      <c r="A190" s="1" t="s">
        <v>23</v>
      </c>
      <c r="B190" s="1" t="str">
        <f t="shared" si="9"/>
        <v>Axis Bank</v>
      </c>
      <c r="C190">
        <v>15</v>
      </c>
      <c r="D190">
        <v>15</v>
      </c>
      <c r="E190">
        <v>39</v>
      </c>
      <c r="F190" s="2">
        <v>11528.58</v>
      </c>
      <c r="G190" s="2">
        <v>10004.299999999999</v>
      </c>
      <c r="H190" s="2">
        <v>0</v>
      </c>
      <c r="I190" s="2">
        <v>8588.24</v>
      </c>
      <c r="J190" s="2">
        <v>2886.34</v>
      </c>
      <c r="K190" s="3">
        <v>2453.38</v>
      </c>
      <c r="L190" s="3">
        <v>432.96</v>
      </c>
      <c r="M190" s="3">
        <v>1470.28</v>
      </c>
      <c r="N190" s="4" t="s">
        <v>70</v>
      </c>
      <c r="O190" s="3" t="str">
        <f t="shared" si="7"/>
        <v>Online</v>
      </c>
      <c r="P190" s="11">
        <v>6121000</v>
      </c>
      <c r="Q190" s="3">
        <v>3267500000</v>
      </c>
      <c r="R190" s="3">
        <v>2080300000</v>
      </c>
      <c r="S190" s="11">
        <v>8686000</v>
      </c>
    </row>
    <row r="191" spans="1:19" x14ac:dyDescent="0.35">
      <c r="A191" s="1" t="s">
        <v>44</v>
      </c>
      <c r="B191" s="1" t="str">
        <f t="shared" si="9"/>
        <v>Axis Bank</v>
      </c>
      <c r="C191">
        <v>222</v>
      </c>
      <c r="D191">
        <v>222</v>
      </c>
      <c r="E191">
        <v>583</v>
      </c>
      <c r="F191" s="2">
        <v>144707.85999999999</v>
      </c>
      <c r="G191" s="2">
        <v>144707.85999999999</v>
      </c>
      <c r="H191" s="2">
        <v>0</v>
      </c>
      <c r="I191" s="2">
        <v>102162.35</v>
      </c>
      <c r="J191" s="2">
        <v>42545.51</v>
      </c>
      <c r="K191" s="3">
        <v>37440.129999999997</v>
      </c>
      <c r="L191" s="3">
        <v>5105.38</v>
      </c>
      <c r="M191" s="3">
        <v>0</v>
      </c>
      <c r="N191" s="4" t="s">
        <v>70</v>
      </c>
      <c r="O191" s="3" t="str">
        <f t="shared" si="7"/>
        <v>Offline - Box Office</v>
      </c>
      <c r="P191" s="11">
        <v>6121000</v>
      </c>
      <c r="Q191" s="3">
        <v>3267500000</v>
      </c>
      <c r="R191" s="3">
        <v>2080300000</v>
      </c>
      <c r="S191" s="11">
        <v>8686000</v>
      </c>
    </row>
    <row r="192" spans="1:19" x14ac:dyDescent="0.35">
      <c r="A192" s="1" t="s">
        <v>24</v>
      </c>
      <c r="B192" s="1" t="str">
        <f t="shared" si="9"/>
        <v>Axis Bank</v>
      </c>
      <c r="C192">
        <v>652</v>
      </c>
      <c r="D192">
        <v>652</v>
      </c>
      <c r="E192">
        <v>1523</v>
      </c>
      <c r="F192" s="2">
        <v>415773.33</v>
      </c>
      <c r="G192" s="2">
        <v>360703.59</v>
      </c>
      <c r="H192" s="2">
        <v>2030</v>
      </c>
      <c r="I192" s="2">
        <v>289990.82</v>
      </c>
      <c r="J192" s="2">
        <v>124498.51</v>
      </c>
      <c r="K192" s="3">
        <v>105823.33</v>
      </c>
      <c r="L192" s="3">
        <v>18675.18</v>
      </c>
      <c r="M192" s="3">
        <v>51755.74</v>
      </c>
      <c r="N192" s="4" t="s">
        <v>70</v>
      </c>
      <c r="O192" s="3" t="str">
        <f t="shared" si="7"/>
        <v>Online</v>
      </c>
      <c r="P192" s="11">
        <v>6121000</v>
      </c>
      <c r="Q192" s="3">
        <v>3267500000</v>
      </c>
      <c r="R192" s="3">
        <v>2080300000</v>
      </c>
      <c r="S192" s="11">
        <v>8686000</v>
      </c>
    </row>
    <row r="193" spans="1:19" x14ac:dyDescent="0.35">
      <c r="A193" s="1" t="s">
        <v>54</v>
      </c>
      <c r="B193" s="1" t="str">
        <f t="shared" si="9"/>
        <v>BOB Card</v>
      </c>
      <c r="C193">
        <v>16</v>
      </c>
      <c r="D193">
        <v>0</v>
      </c>
      <c r="E193">
        <v>28</v>
      </c>
      <c r="F193" s="2">
        <v>14131.34</v>
      </c>
      <c r="G193" s="2">
        <v>10441.68</v>
      </c>
      <c r="H193" s="2">
        <v>3400</v>
      </c>
      <c r="I193" s="2">
        <v>12917.34</v>
      </c>
      <c r="J193" s="2">
        <v>1204</v>
      </c>
      <c r="K193" s="3">
        <v>842.8</v>
      </c>
      <c r="L193" s="3">
        <v>361.2</v>
      </c>
      <c r="M193" s="3">
        <v>279.66000000000003</v>
      </c>
      <c r="N193" s="4" t="s">
        <v>70</v>
      </c>
      <c r="O193" s="3" t="str">
        <f t="shared" si="7"/>
        <v>Online</v>
      </c>
      <c r="P193" s="11">
        <v>6121000</v>
      </c>
      <c r="Q193" s="3">
        <v>3267500000</v>
      </c>
      <c r="R193" s="3">
        <v>2080300000</v>
      </c>
      <c r="S193" s="11">
        <v>8686000</v>
      </c>
    </row>
    <row r="194" spans="1:19" x14ac:dyDescent="0.35">
      <c r="A194" s="1" t="s">
        <v>55</v>
      </c>
      <c r="B194" s="1" t="str">
        <f t="shared" si="9"/>
        <v>BOB Card</v>
      </c>
      <c r="C194">
        <v>398</v>
      </c>
      <c r="D194">
        <v>0</v>
      </c>
      <c r="E194">
        <v>1440</v>
      </c>
      <c r="F194" s="2">
        <v>358148.5</v>
      </c>
      <c r="G194" s="2">
        <v>0</v>
      </c>
      <c r="H194" s="2">
        <v>358148.5</v>
      </c>
      <c r="I194" s="2">
        <v>322992.5</v>
      </c>
      <c r="J194" s="2">
        <v>35156</v>
      </c>
      <c r="K194" s="3">
        <v>24609.200000000001</v>
      </c>
      <c r="L194" s="3">
        <v>10546.8</v>
      </c>
      <c r="M194" s="3">
        <v>0</v>
      </c>
      <c r="N194" s="4" t="s">
        <v>70</v>
      </c>
      <c r="O194" s="3" t="str">
        <f t="shared" ref="O194:O257" si="10">IF(ISNUMBER(SEARCH("Box Office",A194)),"Offline - Box Office",
IF(ISNUMBER(SEARCH("Digital Platforms",A194)),"Online",
IF(ISNUMBER(SEARCH("Refuel",A194)),"Offline - F&amp;B",
IF(ISNUMBER(SEARCH("Food &amp; Beverages",A194)),"Offline - F&amp;B",
IF(ISNUMBER(SEARCH("F&amp;B",A194)),"Offline - F&amp;B",
IF(ISNUMBER(SEARCH("Kiosk",A194)),"Offline - Box Office",
IF(ISNUMBER(SEARCH("Cinema",A194)),"Offline - Box Office",
"Other")))))))</f>
        <v>Offline - F&amp;B</v>
      </c>
      <c r="P194" s="11">
        <v>6121000</v>
      </c>
      <c r="Q194" s="3">
        <v>3267500000</v>
      </c>
      <c r="R194" s="3">
        <v>2080300000</v>
      </c>
      <c r="S194" s="11">
        <v>8686000</v>
      </c>
    </row>
    <row r="195" spans="1:19" x14ac:dyDescent="0.35">
      <c r="A195" s="1" t="s">
        <v>72</v>
      </c>
      <c r="B195" s="1" t="str">
        <f t="shared" si="9"/>
        <v>BOB Card</v>
      </c>
      <c r="C195">
        <v>13</v>
      </c>
      <c r="D195">
        <v>0</v>
      </c>
      <c r="E195">
        <v>50</v>
      </c>
      <c r="F195" s="2">
        <v>11870</v>
      </c>
      <c r="G195" s="2">
        <v>11870</v>
      </c>
      <c r="H195" s="2">
        <v>0</v>
      </c>
      <c r="I195" s="2">
        <v>10193</v>
      </c>
      <c r="J195" s="2">
        <v>1677</v>
      </c>
      <c r="K195" s="3">
        <v>1475.76</v>
      </c>
      <c r="L195" s="3">
        <v>201.24</v>
      </c>
      <c r="M195" s="3">
        <v>0</v>
      </c>
      <c r="N195" s="4" t="s">
        <v>70</v>
      </c>
      <c r="O195" s="3" t="str">
        <f t="shared" si="10"/>
        <v>Offline - Box Office</v>
      </c>
      <c r="P195" s="11">
        <v>6121000</v>
      </c>
      <c r="Q195" s="3">
        <v>3267500000</v>
      </c>
      <c r="R195" s="3">
        <v>2080300000</v>
      </c>
      <c r="S195" s="11">
        <v>8686000</v>
      </c>
    </row>
    <row r="196" spans="1:19" x14ac:dyDescent="0.35">
      <c r="A196" s="1" t="s">
        <v>56</v>
      </c>
      <c r="B196" s="1" t="str">
        <f t="shared" si="9"/>
        <v>BOB Card</v>
      </c>
      <c r="C196">
        <v>487</v>
      </c>
      <c r="D196">
        <v>0</v>
      </c>
      <c r="E196">
        <v>1335</v>
      </c>
      <c r="F196" s="2">
        <v>406455.45</v>
      </c>
      <c r="G196" s="2">
        <v>345955.53</v>
      </c>
      <c r="H196" s="2">
        <v>9310</v>
      </c>
      <c r="I196" s="2">
        <v>342749.45</v>
      </c>
      <c r="J196" s="2">
        <v>62608</v>
      </c>
      <c r="K196" s="3">
        <v>55095.040000000001</v>
      </c>
      <c r="L196" s="3">
        <v>7512.96</v>
      </c>
      <c r="M196" s="3">
        <v>50091.92</v>
      </c>
      <c r="N196" s="4" t="s">
        <v>70</v>
      </c>
      <c r="O196" s="3" t="str">
        <f t="shared" si="10"/>
        <v>Online</v>
      </c>
      <c r="P196" s="11">
        <v>6121000</v>
      </c>
      <c r="Q196" s="3">
        <v>3267500000</v>
      </c>
      <c r="R196" s="3">
        <v>2080300000</v>
      </c>
      <c r="S196" s="11">
        <v>8686000</v>
      </c>
    </row>
    <row r="197" spans="1:19" x14ac:dyDescent="0.35">
      <c r="A197" s="1" t="s">
        <v>61</v>
      </c>
      <c r="B197" s="1" t="str">
        <f t="shared" si="9"/>
        <v>DBS Bank</v>
      </c>
      <c r="C197">
        <v>3</v>
      </c>
      <c r="D197">
        <v>0</v>
      </c>
      <c r="E197">
        <v>5</v>
      </c>
      <c r="F197" s="2">
        <v>4453.34</v>
      </c>
      <c r="G197" s="2">
        <v>2090</v>
      </c>
      <c r="H197" s="2">
        <v>2230</v>
      </c>
      <c r="I197" s="2">
        <v>4003.34</v>
      </c>
      <c r="J197" s="2">
        <v>450</v>
      </c>
      <c r="K197" s="3">
        <v>450</v>
      </c>
      <c r="L197" s="3">
        <v>0</v>
      </c>
      <c r="M197" s="3">
        <v>133.34</v>
      </c>
      <c r="N197" s="4" t="s">
        <v>70</v>
      </c>
      <c r="O197" s="3" t="str">
        <f t="shared" si="10"/>
        <v>Online</v>
      </c>
      <c r="P197" s="11">
        <v>6121000</v>
      </c>
      <c r="Q197" s="3">
        <v>3267500000</v>
      </c>
      <c r="R197" s="3">
        <v>2080300000</v>
      </c>
      <c r="S197" s="11">
        <v>8686000</v>
      </c>
    </row>
    <row r="198" spans="1:19" x14ac:dyDescent="0.35">
      <c r="A198" s="1" t="s">
        <v>62</v>
      </c>
      <c r="B198" s="1" t="str">
        <f t="shared" si="9"/>
        <v>DBS Bank</v>
      </c>
      <c r="C198">
        <v>166</v>
      </c>
      <c r="D198">
        <v>0</v>
      </c>
      <c r="E198">
        <v>821</v>
      </c>
      <c r="F198" s="2">
        <v>197124.42</v>
      </c>
      <c r="G198" s="2">
        <v>0</v>
      </c>
      <c r="H198" s="2">
        <v>197124.42</v>
      </c>
      <c r="I198" s="2">
        <v>172224.42</v>
      </c>
      <c r="J198" s="2">
        <v>24900</v>
      </c>
      <c r="K198" s="3">
        <v>24900</v>
      </c>
      <c r="L198" s="3">
        <v>0</v>
      </c>
      <c r="M198" s="3">
        <v>0</v>
      </c>
      <c r="N198" s="4" t="s">
        <v>70</v>
      </c>
      <c r="O198" s="3" t="str">
        <f t="shared" si="10"/>
        <v>Offline - F&amp;B</v>
      </c>
      <c r="P198" s="11">
        <v>6121000</v>
      </c>
      <c r="Q198" s="3">
        <v>3267500000</v>
      </c>
      <c r="R198" s="3">
        <v>2080300000</v>
      </c>
      <c r="S198" s="11">
        <v>8686000</v>
      </c>
    </row>
    <row r="199" spans="1:19" x14ac:dyDescent="0.35">
      <c r="A199" s="1" t="s">
        <v>63</v>
      </c>
      <c r="B199" s="1" t="str">
        <f t="shared" si="9"/>
        <v>DBS Bank</v>
      </c>
      <c r="C199">
        <v>410</v>
      </c>
      <c r="D199">
        <v>410</v>
      </c>
      <c r="E199">
        <v>1036</v>
      </c>
      <c r="F199" s="2">
        <v>300815.28000000003</v>
      </c>
      <c r="G199" s="2">
        <v>259886.54</v>
      </c>
      <c r="H199" s="2">
        <v>2930</v>
      </c>
      <c r="I199" s="2">
        <v>212155.46</v>
      </c>
      <c r="J199" s="2">
        <v>87885.82</v>
      </c>
      <c r="K199" s="3">
        <v>87885.82</v>
      </c>
      <c r="L199" s="3">
        <v>0</v>
      </c>
      <c r="M199" s="3">
        <v>37224.74</v>
      </c>
      <c r="N199" s="4" t="s">
        <v>70</v>
      </c>
      <c r="O199" s="3" t="str">
        <f t="shared" si="10"/>
        <v>Online</v>
      </c>
      <c r="P199" s="11">
        <v>6121000</v>
      </c>
      <c r="Q199" s="3">
        <v>3267500000</v>
      </c>
      <c r="R199" s="3">
        <v>2080300000</v>
      </c>
      <c r="S199" s="11">
        <v>8686000</v>
      </c>
    </row>
    <row r="200" spans="1:19" x14ac:dyDescent="0.35">
      <c r="A200" s="1" t="s">
        <v>25</v>
      </c>
      <c r="B200" s="1" t="str">
        <f t="shared" si="9"/>
        <v>Federal Bank</v>
      </c>
      <c r="C200">
        <v>183</v>
      </c>
      <c r="D200">
        <v>183</v>
      </c>
      <c r="E200">
        <v>554</v>
      </c>
      <c r="F200" s="2">
        <v>124627.8</v>
      </c>
      <c r="G200" s="2">
        <v>122947.8</v>
      </c>
      <c r="H200" s="2">
        <v>1680</v>
      </c>
      <c r="I200" s="2">
        <v>106367.67999999999</v>
      </c>
      <c r="J200" s="2">
        <v>18260.12</v>
      </c>
      <c r="K200" s="3">
        <v>18260.12</v>
      </c>
      <c r="L200" s="3">
        <v>0</v>
      </c>
      <c r="M200" s="3">
        <v>0</v>
      </c>
      <c r="N200" s="4" t="s">
        <v>70</v>
      </c>
      <c r="O200" s="3" t="str">
        <f t="shared" si="10"/>
        <v>Offline - Box Office</v>
      </c>
      <c r="P200" s="11">
        <v>6121000</v>
      </c>
      <c r="Q200" s="3">
        <v>3267500000</v>
      </c>
      <c r="R200" s="3">
        <v>2080300000</v>
      </c>
      <c r="S200" s="11">
        <v>8686000</v>
      </c>
    </row>
    <row r="201" spans="1:19" x14ac:dyDescent="0.35">
      <c r="A201" s="1" t="s">
        <v>26</v>
      </c>
      <c r="B201" s="1" t="str">
        <f t="shared" si="9"/>
        <v>Federal Bank</v>
      </c>
      <c r="C201">
        <v>81</v>
      </c>
      <c r="D201">
        <v>81</v>
      </c>
      <c r="E201">
        <v>208</v>
      </c>
      <c r="F201" s="2">
        <v>52263.32</v>
      </c>
      <c r="G201" s="2">
        <v>43725.78</v>
      </c>
      <c r="H201" s="2">
        <v>1490</v>
      </c>
      <c r="I201" s="2">
        <v>44043.08</v>
      </c>
      <c r="J201" s="2">
        <v>8020.24</v>
      </c>
      <c r="K201" s="3">
        <v>8020.24</v>
      </c>
      <c r="L201" s="3">
        <v>0</v>
      </c>
      <c r="M201" s="3">
        <v>6847.54</v>
      </c>
      <c r="N201" s="4" t="s">
        <v>70</v>
      </c>
      <c r="O201" s="3" t="str">
        <f t="shared" si="10"/>
        <v>Online</v>
      </c>
      <c r="P201" s="11">
        <v>6121000</v>
      </c>
      <c r="Q201" s="3">
        <v>3267500000</v>
      </c>
      <c r="R201" s="3">
        <v>2080300000</v>
      </c>
      <c r="S201" s="11">
        <v>8686000</v>
      </c>
    </row>
    <row r="202" spans="1:19" x14ac:dyDescent="0.35">
      <c r="A202" s="1" t="s">
        <v>73</v>
      </c>
      <c r="B202" s="1" t="str">
        <f t="shared" si="9"/>
        <v>Federal Bank</v>
      </c>
      <c r="C202">
        <v>438</v>
      </c>
      <c r="D202">
        <v>438</v>
      </c>
      <c r="E202">
        <v>1185</v>
      </c>
      <c r="F202" s="2">
        <v>272507.88</v>
      </c>
      <c r="G202" s="2">
        <v>272267.88</v>
      </c>
      <c r="H202" s="2">
        <v>240</v>
      </c>
      <c r="I202" s="2">
        <v>228827.51999999999</v>
      </c>
      <c r="J202" s="2">
        <v>43680.36</v>
      </c>
      <c r="K202" s="3">
        <v>34944.300000000003</v>
      </c>
      <c r="L202" s="3">
        <v>8736.06</v>
      </c>
      <c r="M202" s="3">
        <v>0</v>
      </c>
      <c r="N202" s="4" t="s">
        <v>70</v>
      </c>
      <c r="O202" s="3" t="str">
        <f t="shared" si="10"/>
        <v>Offline - Box Office</v>
      </c>
      <c r="P202" s="11">
        <v>6121000</v>
      </c>
      <c r="Q202" s="3">
        <v>3267500000</v>
      </c>
      <c r="R202" s="3">
        <v>2080300000</v>
      </c>
      <c r="S202" s="11">
        <v>8686000</v>
      </c>
    </row>
    <row r="203" spans="1:19" x14ac:dyDescent="0.35">
      <c r="A203" s="1" t="s">
        <v>74</v>
      </c>
      <c r="B203" s="1" t="str">
        <f t="shared" si="9"/>
        <v>Federal Bank</v>
      </c>
      <c r="C203">
        <v>278</v>
      </c>
      <c r="D203">
        <v>278</v>
      </c>
      <c r="E203">
        <v>714</v>
      </c>
      <c r="F203" s="2">
        <v>189617.22</v>
      </c>
      <c r="G203" s="2">
        <v>160075.18</v>
      </c>
      <c r="H203" s="2">
        <v>3940</v>
      </c>
      <c r="I203" s="2">
        <v>161884.81</v>
      </c>
      <c r="J203" s="2">
        <v>27240.41</v>
      </c>
      <c r="K203" s="3">
        <v>21792.38</v>
      </c>
      <c r="L203" s="3">
        <v>5448.03</v>
      </c>
      <c r="M203" s="3">
        <v>25110.04</v>
      </c>
      <c r="N203" s="4" t="s">
        <v>70</v>
      </c>
      <c r="O203" s="3" t="str">
        <f t="shared" si="10"/>
        <v>Online</v>
      </c>
      <c r="P203" s="11">
        <v>6121000</v>
      </c>
      <c r="Q203" s="3">
        <v>3267500000</v>
      </c>
      <c r="R203" s="3">
        <v>2080300000</v>
      </c>
      <c r="S203" s="11">
        <v>8686000</v>
      </c>
    </row>
    <row r="204" spans="1:19" x14ac:dyDescent="0.35">
      <c r="A204" s="1" t="s">
        <v>27</v>
      </c>
      <c r="B204" s="1" t="str">
        <f t="shared" si="9"/>
        <v>Federal Bank</v>
      </c>
      <c r="C204">
        <v>16</v>
      </c>
      <c r="D204">
        <v>16</v>
      </c>
      <c r="E204">
        <v>62</v>
      </c>
      <c r="F204" s="2">
        <v>14033.32</v>
      </c>
      <c r="G204" s="2">
        <v>13958.32</v>
      </c>
      <c r="H204" s="2">
        <v>75</v>
      </c>
      <c r="I204" s="2">
        <v>12433.32</v>
      </c>
      <c r="J204" s="2">
        <v>1600</v>
      </c>
      <c r="K204" s="3">
        <v>1600</v>
      </c>
      <c r="L204" s="3">
        <v>0</v>
      </c>
      <c r="M204" s="3">
        <v>0</v>
      </c>
      <c r="N204" s="4" t="s">
        <v>70</v>
      </c>
      <c r="O204" s="3" t="str">
        <f t="shared" si="10"/>
        <v>Offline - Box Office</v>
      </c>
      <c r="P204" s="11">
        <v>6121000</v>
      </c>
      <c r="Q204" s="3">
        <v>3267500000</v>
      </c>
      <c r="R204" s="3">
        <v>2080300000</v>
      </c>
      <c r="S204" s="11">
        <v>8686000</v>
      </c>
    </row>
    <row r="205" spans="1:19" x14ac:dyDescent="0.35">
      <c r="A205" s="1" t="s">
        <v>28</v>
      </c>
      <c r="B205" s="1" t="str">
        <f t="shared" si="9"/>
        <v>Federal Bank</v>
      </c>
      <c r="C205">
        <v>20</v>
      </c>
      <c r="D205">
        <v>20</v>
      </c>
      <c r="E205">
        <v>53</v>
      </c>
      <c r="F205" s="2">
        <v>14549.92</v>
      </c>
      <c r="G205" s="2">
        <v>12559.88</v>
      </c>
      <c r="H205" s="2">
        <v>0</v>
      </c>
      <c r="I205" s="2">
        <v>12539.19</v>
      </c>
      <c r="J205" s="2">
        <v>1962.73</v>
      </c>
      <c r="K205" s="3">
        <v>1962.73</v>
      </c>
      <c r="L205" s="3">
        <v>0</v>
      </c>
      <c r="M205" s="3">
        <v>1942.04</v>
      </c>
      <c r="N205" s="4" t="s">
        <v>70</v>
      </c>
      <c r="O205" s="3" t="str">
        <f t="shared" si="10"/>
        <v>Online</v>
      </c>
      <c r="P205" s="11">
        <v>6121000</v>
      </c>
      <c r="Q205" s="3">
        <v>3267500000</v>
      </c>
      <c r="R205" s="3">
        <v>2080300000</v>
      </c>
      <c r="S205" s="11">
        <v>8686000</v>
      </c>
    </row>
    <row r="206" spans="1:19" x14ac:dyDescent="0.35">
      <c r="A206" s="1" t="s">
        <v>29</v>
      </c>
      <c r="B206" s="1" t="str">
        <f t="shared" si="9"/>
        <v>Federal Bank</v>
      </c>
      <c r="C206">
        <v>92</v>
      </c>
      <c r="D206">
        <v>92</v>
      </c>
      <c r="E206">
        <v>243</v>
      </c>
      <c r="F206" s="2">
        <v>54844.4</v>
      </c>
      <c r="G206" s="2">
        <v>54844.4</v>
      </c>
      <c r="H206" s="2">
        <v>0</v>
      </c>
      <c r="I206" s="2">
        <v>45645.4</v>
      </c>
      <c r="J206" s="2">
        <v>9199</v>
      </c>
      <c r="K206" s="3">
        <v>9199</v>
      </c>
      <c r="L206" s="3">
        <v>0</v>
      </c>
      <c r="M206" s="3">
        <v>0</v>
      </c>
      <c r="N206" s="4" t="s">
        <v>70</v>
      </c>
      <c r="O206" s="3" t="str">
        <f t="shared" si="10"/>
        <v>Offline - Box Office</v>
      </c>
      <c r="P206" s="11">
        <v>6121000</v>
      </c>
      <c r="Q206" s="3">
        <v>3267500000</v>
      </c>
      <c r="R206" s="3">
        <v>2080300000</v>
      </c>
      <c r="S206" s="11">
        <v>8686000</v>
      </c>
    </row>
    <row r="207" spans="1:19" x14ac:dyDescent="0.35">
      <c r="A207" s="1" t="s">
        <v>30</v>
      </c>
      <c r="B207" s="1" t="str">
        <f t="shared" si="9"/>
        <v>Federal Bank</v>
      </c>
      <c r="C207">
        <v>52</v>
      </c>
      <c r="D207">
        <v>52</v>
      </c>
      <c r="E207">
        <v>124</v>
      </c>
      <c r="F207" s="2">
        <v>34588.86</v>
      </c>
      <c r="G207" s="2">
        <v>29476.18</v>
      </c>
      <c r="H207" s="2">
        <v>630</v>
      </c>
      <c r="I207" s="2">
        <v>29382.62</v>
      </c>
      <c r="J207" s="2">
        <v>5120.24</v>
      </c>
      <c r="K207" s="3">
        <v>5120.24</v>
      </c>
      <c r="L207" s="3">
        <v>0</v>
      </c>
      <c r="M207" s="3">
        <v>4396.68</v>
      </c>
      <c r="N207" s="4" t="s">
        <v>70</v>
      </c>
      <c r="O207" s="3" t="str">
        <f t="shared" si="10"/>
        <v>Online</v>
      </c>
      <c r="P207" s="11">
        <v>6121000</v>
      </c>
      <c r="Q207" s="3">
        <v>3267500000</v>
      </c>
      <c r="R207" s="3">
        <v>2080300000</v>
      </c>
      <c r="S207" s="11">
        <v>8686000</v>
      </c>
    </row>
    <row r="208" spans="1:19" x14ac:dyDescent="0.35">
      <c r="A208" s="1" t="s">
        <v>31</v>
      </c>
      <c r="B208" s="1" t="str">
        <f t="shared" si="9"/>
        <v>HSBC</v>
      </c>
      <c r="C208">
        <v>12</v>
      </c>
      <c r="D208">
        <v>0</v>
      </c>
      <c r="E208">
        <v>30</v>
      </c>
      <c r="F208" s="2">
        <v>31865.3</v>
      </c>
      <c r="G208" s="2">
        <v>28740</v>
      </c>
      <c r="H208" s="2">
        <v>0</v>
      </c>
      <c r="I208" s="2">
        <v>28975.3</v>
      </c>
      <c r="J208" s="2">
        <v>2874</v>
      </c>
      <c r="K208" s="3">
        <v>1437</v>
      </c>
      <c r="L208" s="3">
        <v>1437</v>
      </c>
      <c r="M208" s="3">
        <v>3109.3</v>
      </c>
      <c r="N208" s="4" t="s">
        <v>70</v>
      </c>
      <c r="O208" s="3" t="str">
        <f t="shared" si="10"/>
        <v>Online</v>
      </c>
      <c r="P208" s="11">
        <v>6121000</v>
      </c>
      <c r="Q208" s="3">
        <v>3267500000</v>
      </c>
      <c r="R208" s="3">
        <v>2080300000</v>
      </c>
      <c r="S208" s="11">
        <v>8686000</v>
      </c>
    </row>
    <row r="209" spans="1:19" x14ac:dyDescent="0.35">
      <c r="A209" s="1" t="s">
        <v>32</v>
      </c>
      <c r="B209" s="1" t="str">
        <f t="shared" si="9"/>
        <v>ICICI Bank</v>
      </c>
      <c r="C209">
        <v>3121</v>
      </c>
      <c r="D209">
        <v>0</v>
      </c>
      <c r="E209">
        <v>8777</v>
      </c>
      <c r="F209" s="2">
        <v>2185719.7400000002</v>
      </c>
      <c r="G209" s="2">
        <v>2183590.7400000002</v>
      </c>
      <c r="H209" s="2">
        <v>2129</v>
      </c>
      <c r="I209" s="2">
        <v>1866191.74</v>
      </c>
      <c r="J209" s="2">
        <v>319528</v>
      </c>
      <c r="K209" s="3">
        <v>281184.64000000001</v>
      </c>
      <c r="L209" s="3">
        <v>38343.360000000001</v>
      </c>
      <c r="M209" s="3">
        <v>0</v>
      </c>
      <c r="N209" s="4" t="s">
        <v>70</v>
      </c>
      <c r="O209" s="3" t="str">
        <f t="shared" si="10"/>
        <v>Offline - Box Office</v>
      </c>
      <c r="P209" s="11">
        <v>6121000</v>
      </c>
      <c r="Q209" s="3">
        <v>3267500000</v>
      </c>
      <c r="R209" s="3">
        <v>2080300000</v>
      </c>
      <c r="S209" s="11">
        <v>8686000</v>
      </c>
    </row>
    <row r="210" spans="1:19" x14ac:dyDescent="0.35">
      <c r="A210" s="1" t="s">
        <v>33</v>
      </c>
      <c r="B210" s="1" t="str">
        <f t="shared" si="9"/>
        <v>ICICI Bank</v>
      </c>
      <c r="C210">
        <v>1188</v>
      </c>
      <c r="D210">
        <v>0</v>
      </c>
      <c r="E210">
        <v>3412</v>
      </c>
      <c r="F210" s="2">
        <v>991387.44</v>
      </c>
      <c r="G210" s="2">
        <v>843471.64</v>
      </c>
      <c r="H210" s="2">
        <v>23915</v>
      </c>
      <c r="I210" s="2">
        <v>865446.44</v>
      </c>
      <c r="J210" s="2">
        <v>123121</v>
      </c>
      <c r="K210" s="3">
        <v>104652.85</v>
      </c>
      <c r="L210" s="3">
        <v>18468.150000000001</v>
      </c>
      <c r="M210" s="3">
        <v>121180.8</v>
      </c>
      <c r="N210" s="4" t="s">
        <v>70</v>
      </c>
      <c r="O210" s="3" t="str">
        <f t="shared" si="10"/>
        <v>Online</v>
      </c>
      <c r="P210" s="11">
        <v>6121000</v>
      </c>
      <c r="Q210" s="3">
        <v>3267500000</v>
      </c>
      <c r="R210" s="3">
        <v>2080300000</v>
      </c>
      <c r="S210" s="11">
        <v>8686000</v>
      </c>
    </row>
    <row r="211" spans="1:19" x14ac:dyDescent="0.35">
      <c r="A211" s="1" t="s">
        <v>34</v>
      </c>
      <c r="B211" s="1" t="str">
        <f t="shared" si="9"/>
        <v>ICICI Bank</v>
      </c>
      <c r="C211">
        <v>457</v>
      </c>
      <c r="D211">
        <v>0</v>
      </c>
      <c r="E211">
        <v>1349</v>
      </c>
      <c r="F211" s="2">
        <v>347778.92</v>
      </c>
      <c r="G211" s="2">
        <v>347703.92</v>
      </c>
      <c r="H211" s="2">
        <v>75</v>
      </c>
      <c r="I211" s="2">
        <v>323702.92</v>
      </c>
      <c r="J211" s="2">
        <v>24076</v>
      </c>
      <c r="K211" s="3">
        <v>21186.880000000001</v>
      </c>
      <c r="L211" s="3">
        <v>2889.12</v>
      </c>
      <c r="M211" s="3">
        <v>0</v>
      </c>
      <c r="N211" s="4" t="s">
        <v>70</v>
      </c>
      <c r="O211" s="3" t="str">
        <f t="shared" si="10"/>
        <v>Offline - Box Office</v>
      </c>
      <c r="P211" s="11">
        <v>6121000</v>
      </c>
      <c r="Q211" s="3">
        <v>3267500000</v>
      </c>
      <c r="R211" s="3">
        <v>2080300000</v>
      </c>
      <c r="S211" s="11">
        <v>8686000</v>
      </c>
    </row>
    <row r="212" spans="1:19" x14ac:dyDescent="0.35">
      <c r="A212" s="1" t="s">
        <v>35</v>
      </c>
      <c r="B212" s="1" t="str">
        <f t="shared" si="9"/>
        <v>ICICI Bank</v>
      </c>
      <c r="C212">
        <v>173</v>
      </c>
      <c r="D212">
        <v>0</v>
      </c>
      <c r="E212">
        <v>534</v>
      </c>
      <c r="F212" s="2">
        <v>170940.22</v>
      </c>
      <c r="G212" s="2">
        <v>146403.82</v>
      </c>
      <c r="H212" s="2">
        <v>3200</v>
      </c>
      <c r="I212" s="2">
        <v>160340.22</v>
      </c>
      <c r="J212" s="2">
        <v>9970</v>
      </c>
      <c r="K212" s="3">
        <v>8474.5</v>
      </c>
      <c r="L212" s="3">
        <v>1495.5</v>
      </c>
      <c r="M212" s="3">
        <v>20706.400000000001</v>
      </c>
      <c r="N212" s="4" t="s">
        <v>70</v>
      </c>
      <c r="O212" s="3" t="str">
        <f t="shared" si="10"/>
        <v>Online</v>
      </c>
      <c r="P212" s="11">
        <v>6121000</v>
      </c>
      <c r="Q212" s="3">
        <v>3267500000</v>
      </c>
      <c r="R212" s="3">
        <v>2080300000</v>
      </c>
      <c r="S212" s="11">
        <v>8686000</v>
      </c>
    </row>
    <row r="213" spans="1:19" x14ac:dyDescent="0.35">
      <c r="A213" s="1" t="s">
        <v>46</v>
      </c>
      <c r="B213" s="1" t="str">
        <f t="shared" si="9"/>
        <v>IDBI Bank</v>
      </c>
      <c r="C213">
        <v>62</v>
      </c>
      <c r="D213">
        <v>0</v>
      </c>
      <c r="E213">
        <v>147</v>
      </c>
      <c r="F213" s="2">
        <v>35358.14</v>
      </c>
      <c r="G213" s="2">
        <v>35283.14</v>
      </c>
      <c r="H213" s="2">
        <v>75</v>
      </c>
      <c r="I213" s="2">
        <v>31467.14</v>
      </c>
      <c r="J213" s="2">
        <v>3891</v>
      </c>
      <c r="K213" s="3">
        <v>3891</v>
      </c>
      <c r="L213" s="3">
        <v>0</v>
      </c>
      <c r="M213" s="3">
        <v>0</v>
      </c>
      <c r="N213" s="4" t="s">
        <v>70</v>
      </c>
      <c r="O213" s="3" t="str">
        <f t="shared" si="10"/>
        <v>Offline - Box Office</v>
      </c>
      <c r="P213" s="11">
        <v>6121000</v>
      </c>
      <c r="Q213" s="3">
        <v>3267500000</v>
      </c>
      <c r="R213" s="3">
        <v>2080300000</v>
      </c>
      <c r="S213" s="11">
        <v>8686000</v>
      </c>
    </row>
    <row r="214" spans="1:19" x14ac:dyDescent="0.35">
      <c r="A214" s="1" t="s">
        <v>36</v>
      </c>
      <c r="B214" s="1" t="str">
        <f t="shared" si="9"/>
        <v>IDBI Bank</v>
      </c>
      <c r="C214">
        <v>32</v>
      </c>
      <c r="D214">
        <v>0</v>
      </c>
      <c r="E214">
        <v>83</v>
      </c>
      <c r="F214" s="2">
        <v>22109.66</v>
      </c>
      <c r="G214" s="2">
        <v>18438.38</v>
      </c>
      <c r="H214" s="2">
        <v>880</v>
      </c>
      <c r="I214" s="2">
        <v>19750.66</v>
      </c>
      <c r="J214" s="2">
        <v>2277</v>
      </c>
      <c r="K214" s="3">
        <v>2277</v>
      </c>
      <c r="L214" s="3">
        <v>0</v>
      </c>
      <c r="M214" s="3">
        <v>2709.28</v>
      </c>
      <c r="N214" s="4" t="s">
        <v>70</v>
      </c>
      <c r="O214" s="3" t="str">
        <f t="shared" si="10"/>
        <v>Online</v>
      </c>
      <c r="P214" s="11">
        <v>6121000</v>
      </c>
      <c r="Q214" s="3">
        <v>3267500000</v>
      </c>
      <c r="R214" s="3">
        <v>2080300000</v>
      </c>
      <c r="S214" s="11">
        <v>8686000</v>
      </c>
    </row>
    <row r="215" spans="1:19" x14ac:dyDescent="0.35">
      <c r="A215" s="1" t="s">
        <v>47</v>
      </c>
      <c r="B215" s="1" t="str">
        <f t="shared" si="9"/>
        <v>IDBI Bank</v>
      </c>
      <c r="C215">
        <v>130</v>
      </c>
      <c r="D215">
        <v>0</v>
      </c>
      <c r="E215">
        <v>378</v>
      </c>
      <c r="F215" s="2">
        <v>83666.11</v>
      </c>
      <c r="G215" s="2">
        <v>0</v>
      </c>
      <c r="H215" s="2">
        <v>83666.11</v>
      </c>
      <c r="I215" s="2">
        <v>75011.11</v>
      </c>
      <c r="J215" s="2">
        <v>8655</v>
      </c>
      <c r="K215" s="3">
        <v>6058.5</v>
      </c>
      <c r="L215" s="3">
        <v>2596.5</v>
      </c>
      <c r="M215" s="3">
        <v>0</v>
      </c>
      <c r="N215" s="4" t="s">
        <v>70</v>
      </c>
      <c r="O215" s="3" t="str">
        <f t="shared" si="10"/>
        <v>Offline - F&amp;B</v>
      </c>
      <c r="P215" s="11">
        <v>6121000</v>
      </c>
      <c r="Q215" s="3">
        <v>3267500000</v>
      </c>
      <c r="R215" s="3">
        <v>2080300000</v>
      </c>
      <c r="S215" s="11">
        <v>8686000</v>
      </c>
    </row>
    <row r="216" spans="1:19" x14ac:dyDescent="0.35">
      <c r="A216" s="1" t="s">
        <v>48</v>
      </c>
      <c r="B216" s="1" t="str">
        <f t="shared" si="9"/>
        <v>IDBI Bank</v>
      </c>
      <c r="C216">
        <v>45</v>
      </c>
      <c r="D216">
        <v>0</v>
      </c>
      <c r="E216">
        <v>110</v>
      </c>
      <c r="F216" s="2">
        <v>27592.720000000001</v>
      </c>
      <c r="G216" s="2">
        <v>27592.720000000001</v>
      </c>
      <c r="H216" s="2">
        <v>0</v>
      </c>
      <c r="I216" s="2">
        <v>22494.720000000001</v>
      </c>
      <c r="J216" s="2">
        <v>5098</v>
      </c>
      <c r="K216" s="3">
        <v>5098</v>
      </c>
      <c r="L216" s="3">
        <v>0</v>
      </c>
      <c r="M216" s="3">
        <v>0</v>
      </c>
      <c r="N216" s="4" t="s">
        <v>70</v>
      </c>
      <c r="O216" s="3" t="str">
        <f t="shared" si="10"/>
        <v>Offline - Box Office</v>
      </c>
      <c r="P216" s="11">
        <v>6121000</v>
      </c>
      <c r="Q216" s="3">
        <v>3267500000</v>
      </c>
      <c r="R216" s="3">
        <v>2080300000</v>
      </c>
      <c r="S216" s="11">
        <v>8686000</v>
      </c>
    </row>
    <row r="217" spans="1:19" x14ac:dyDescent="0.35">
      <c r="A217" s="1" t="s">
        <v>37</v>
      </c>
      <c r="B217" s="1" t="str">
        <f t="shared" ref="B217:B248" si="11">IF(ISNUMBER(SEARCH("AXIS",A217)),"Axis Bank",
IF(ISNUMBER(SEARCH("HDFC",A217)),"HDFC Bank",
IF(ISNUMBER(SEARCH("ICICI",A217)),"ICICI Bank",
IF(ISNUMBER(SEARCH("AU",A217)),"AU Bank",
IF(ISNUMBER(SEARCH("KOTAK",A217)),"Kotak Mahindra Bank",
IF(ISNUMBER(SEARCH("SBI",A217)),"State Bank of India",
IF(ISNUMBER(SEARCH("HSBC",A217)),"HSBC",
IF(ISNUMBER(SEARCH("DBS",A217)),"DBS Bank",
IF(ISNUMBER(SEARCH("SCAPIA",A217)),"Scapia",
IF(ISNUMBER(SEARCH("STANDARD CHARTERED",A217)),"Standard Chartered Bank",
IF(ISNUMBER(SEARCH("IDBI",A217)),"IDBI Bank",
IF(ISNUMBER(SEARCH("J&amp;K",A217)),"J&amp;K Bank",
IF(ISNUMBER(SEARCH("JAMMU",A217)),"J&amp;K Bank",
IF(ISNUMBER(SEARCH("FEDERAL",A217)),"Federal Bank",
IF(ISNUMBER(SEARCH("BOBCARD",A217)),"BOB Card",
IF(ISNUMBER(SEARCH("BANK OF BARODA",A217)),"BOB Card",
IF(ISNUMBER(SEARCH("AMEX",A217)),"American Express",
IF(ISNUMBER(SEARCH("PLATINUM",A217)),"American Express",
IF(ISNUMBER(SEARCH("CENTURION",A217)),"American Express",
IF(ISNUMBER(SEARCH("VISA",A217)),"Visa",
IF(ISNUMBER(SEARCH("MASTERCARD",A217)),"Mastercard",
"")))))))))))))))))))))</f>
        <v>IDBI Bank</v>
      </c>
      <c r="C217">
        <v>17</v>
      </c>
      <c r="D217">
        <v>0</v>
      </c>
      <c r="E217">
        <v>45</v>
      </c>
      <c r="F217" s="2">
        <v>13816.46</v>
      </c>
      <c r="G217" s="2">
        <v>11706.16</v>
      </c>
      <c r="H217" s="2">
        <v>340</v>
      </c>
      <c r="I217" s="2">
        <v>11602.46</v>
      </c>
      <c r="J217" s="2">
        <v>2196</v>
      </c>
      <c r="K217" s="3">
        <v>2196</v>
      </c>
      <c r="L217" s="3">
        <v>0</v>
      </c>
      <c r="M217" s="3">
        <v>1752.3</v>
      </c>
      <c r="N217" s="4" t="s">
        <v>70</v>
      </c>
      <c r="O217" s="3" t="str">
        <f t="shared" si="10"/>
        <v>Online</v>
      </c>
      <c r="P217" s="11">
        <v>6121000</v>
      </c>
      <c r="Q217" s="3">
        <v>3267500000</v>
      </c>
      <c r="R217" s="3">
        <v>2080300000</v>
      </c>
      <c r="S217" s="11">
        <v>8686000</v>
      </c>
    </row>
    <row r="218" spans="1:19" x14ac:dyDescent="0.35">
      <c r="A218" s="1" t="s">
        <v>49</v>
      </c>
      <c r="B218" s="1" t="str">
        <f t="shared" si="11"/>
        <v>IDBI Bank</v>
      </c>
      <c r="C218">
        <v>61</v>
      </c>
      <c r="D218">
        <v>0</v>
      </c>
      <c r="E218">
        <v>200</v>
      </c>
      <c r="F218" s="2">
        <v>47664.03</v>
      </c>
      <c r="G218" s="2">
        <v>0</v>
      </c>
      <c r="H218" s="2">
        <v>47664.03</v>
      </c>
      <c r="I218" s="2">
        <v>40160.03</v>
      </c>
      <c r="J218" s="2">
        <v>7504</v>
      </c>
      <c r="K218" s="3">
        <v>5252.8</v>
      </c>
      <c r="L218" s="3">
        <v>2251.1999999999998</v>
      </c>
      <c r="M218" s="3">
        <v>0</v>
      </c>
      <c r="N218" s="4" t="s">
        <v>70</v>
      </c>
      <c r="O218" s="3" t="str">
        <f t="shared" si="10"/>
        <v>Offline - F&amp;B</v>
      </c>
      <c r="P218" s="11">
        <v>6121000</v>
      </c>
      <c r="Q218" s="3">
        <v>3267500000</v>
      </c>
      <c r="R218" s="3">
        <v>2080300000</v>
      </c>
      <c r="S218" s="11">
        <v>8686000</v>
      </c>
    </row>
    <row r="219" spans="1:19" x14ac:dyDescent="0.35">
      <c r="A219" s="1" t="s">
        <v>75</v>
      </c>
      <c r="B219" s="1" t="str">
        <f t="shared" si="11"/>
        <v>J&amp;K Bank</v>
      </c>
      <c r="C219">
        <v>1</v>
      </c>
      <c r="D219">
        <v>0</v>
      </c>
      <c r="E219">
        <v>2</v>
      </c>
      <c r="F219" s="2">
        <v>1257.4000000000001</v>
      </c>
      <c r="G219" s="2">
        <v>1100</v>
      </c>
      <c r="H219" s="2">
        <v>0</v>
      </c>
      <c r="I219" s="2">
        <v>753.4</v>
      </c>
      <c r="J219" s="2">
        <v>500</v>
      </c>
      <c r="K219" s="3">
        <v>475</v>
      </c>
      <c r="L219" s="3">
        <v>25</v>
      </c>
      <c r="M219" s="3">
        <v>153.4</v>
      </c>
      <c r="N219" s="4" t="s">
        <v>70</v>
      </c>
      <c r="O219" s="3" t="str">
        <f t="shared" si="10"/>
        <v>Online</v>
      </c>
      <c r="P219" s="11">
        <v>6121000</v>
      </c>
      <c r="Q219" s="3">
        <v>3267500000</v>
      </c>
      <c r="R219" s="3">
        <v>2080300000</v>
      </c>
      <c r="S219" s="11">
        <v>8686000</v>
      </c>
    </row>
    <row r="220" spans="1:19" x14ac:dyDescent="0.35">
      <c r="A220" s="1" t="s">
        <v>76</v>
      </c>
      <c r="B220" s="1" t="str">
        <f t="shared" si="11"/>
        <v>J&amp;K Bank</v>
      </c>
      <c r="C220">
        <v>3</v>
      </c>
      <c r="D220">
        <v>0</v>
      </c>
      <c r="E220">
        <v>11</v>
      </c>
      <c r="F220" s="2">
        <v>3835.2</v>
      </c>
      <c r="G220" s="2">
        <v>3300</v>
      </c>
      <c r="H220" s="2">
        <v>0</v>
      </c>
      <c r="I220" s="2">
        <v>2419.1999999999998</v>
      </c>
      <c r="J220" s="2">
        <v>1400</v>
      </c>
      <c r="K220" s="3">
        <v>1400</v>
      </c>
      <c r="L220" s="3">
        <v>0</v>
      </c>
      <c r="M220" s="3">
        <v>519.20000000000005</v>
      </c>
      <c r="N220" s="4" t="s">
        <v>70</v>
      </c>
      <c r="O220" s="3" t="str">
        <f t="shared" si="10"/>
        <v>Online</v>
      </c>
      <c r="P220" s="11">
        <v>6121000</v>
      </c>
      <c r="Q220" s="3">
        <v>3267500000</v>
      </c>
      <c r="R220" s="3">
        <v>2080300000</v>
      </c>
      <c r="S220" s="11">
        <v>8686000</v>
      </c>
    </row>
    <row r="221" spans="1:19" x14ac:dyDescent="0.35">
      <c r="A221" s="1" t="s">
        <v>77</v>
      </c>
      <c r="B221" s="1" t="str">
        <f t="shared" si="11"/>
        <v>J&amp;K Bank</v>
      </c>
      <c r="C221">
        <v>20</v>
      </c>
      <c r="D221">
        <v>0</v>
      </c>
      <c r="E221">
        <v>64</v>
      </c>
      <c r="F221" s="2">
        <v>24965</v>
      </c>
      <c r="G221" s="2">
        <v>21310</v>
      </c>
      <c r="H221" s="2">
        <v>350</v>
      </c>
      <c r="I221" s="2">
        <v>15545</v>
      </c>
      <c r="J221" s="2">
        <v>9360</v>
      </c>
      <c r="K221" s="3">
        <v>8892</v>
      </c>
      <c r="L221" s="3">
        <v>468</v>
      </c>
      <c r="M221" s="3">
        <v>3245</v>
      </c>
      <c r="N221" s="4" t="s">
        <v>70</v>
      </c>
      <c r="O221" s="3" t="str">
        <f t="shared" si="10"/>
        <v>Online</v>
      </c>
      <c r="P221" s="11">
        <v>6121000</v>
      </c>
      <c r="Q221" s="3">
        <v>3267500000</v>
      </c>
      <c r="R221" s="3">
        <v>2080300000</v>
      </c>
      <c r="S221" s="11">
        <v>8686000</v>
      </c>
    </row>
    <row r="222" spans="1:19" x14ac:dyDescent="0.35">
      <c r="A222" s="1" t="s">
        <v>51</v>
      </c>
      <c r="B222" s="1" t="str">
        <f t="shared" si="11"/>
        <v>Kotak Mahindra Bank</v>
      </c>
      <c r="C222">
        <v>40</v>
      </c>
      <c r="D222">
        <v>0</v>
      </c>
      <c r="E222">
        <v>99</v>
      </c>
      <c r="F222" s="2">
        <v>77782.42</v>
      </c>
      <c r="G222" s="2">
        <v>69560</v>
      </c>
      <c r="H222" s="2">
        <v>680</v>
      </c>
      <c r="I222" s="2">
        <v>64444.42</v>
      </c>
      <c r="J222" s="2">
        <v>13252</v>
      </c>
      <c r="K222" s="3">
        <v>10601.6</v>
      </c>
      <c r="L222" s="3">
        <v>2650.4</v>
      </c>
      <c r="M222" s="3">
        <v>7456.42</v>
      </c>
      <c r="N222" s="4" t="s">
        <v>70</v>
      </c>
      <c r="O222" s="3" t="str">
        <f t="shared" si="10"/>
        <v>Online</v>
      </c>
      <c r="P222" s="11">
        <v>6121000</v>
      </c>
      <c r="Q222" s="3">
        <v>3267500000</v>
      </c>
      <c r="R222" s="3">
        <v>2080300000</v>
      </c>
      <c r="S222" s="11">
        <v>8686000</v>
      </c>
    </row>
    <row r="223" spans="1:19" x14ac:dyDescent="0.35">
      <c r="A223" s="1" t="s">
        <v>52</v>
      </c>
      <c r="B223" s="1" t="str">
        <f t="shared" si="11"/>
        <v>Kotak Mahindra Bank</v>
      </c>
      <c r="C223">
        <v>11</v>
      </c>
      <c r="D223">
        <v>11</v>
      </c>
      <c r="E223">
        <v>26</v>
      </c>
      <c r="F223" s="2">
        <v>30384.799999999999</v>
      </c>
      <c r="G223" s="2">
        <v>28160</v>
      </c>
      <c r="H223" s="2">
        <v>0</v>
      </c>
      <c r="I223" s="2">
        <v>22134.799999999999</v>
      </c>
      <c r="J223" s="2">
        <v>8220</v>
      </c>
      <c r="K223" s="3">
        <v>8220</v>
      </c>
      <c r="L223" s="3">
        <v>0</v>
      </c>
      <c r="M223" s="3">
        <v>2194.8000000000002</v>
      </c>
      <c r="N223" s="4" t="s">
        <v>70</v>
      </c>
      <c r="O223" s="3" t="str">
        <f t="shared" si="10"/>
        <v>Online</v>
      </c>
      <c r="P223" s="11">
        <v>6121000</v>
      </c>
      <c r="Q223" s="3">
        <v>3267500000</v>
      </c>
      <c r="R223" s="3">
        <v>2080300000</v>
      </c>
      <c r="S223" s="11">
        <v>8686000</v>
      </c>
    </row>
    <row r="224" spans="1:19" x14ac:dyDescent="0.35">
      <c r="A224" s="1" t="s">
        <v>38</v>
      </c>
      <c r="B224" s="1" t="str">
        <f t="shared" si="11"/>
        <v>Kotak Mahindra Bank</v>
      </c>
      <c r="C224">
        <v>12200</v>
      </c>
      <c r="D224">
        <v>0</v>
      </c>
      <c r="E224">
        <v>30487</v>
      </c>
      <c r="F224" s="2">
        <v>6757182.8099999996</v>
      </c>
      <c r="G224" s="2">
        <v>297242.15999999997</v>
      </c>
      <c r="H224" s="2">
        <v>6457282.9699999997</v>
      </c>
      <c r="I224" s="2">
        <v>5409537.8099999996</v>
      </c>
      <c r="J224" s="2">
        <v>1347555</v>
      </c>
      <c r="K224" s="3">
        <v>0</v>
      </c>
      <c r="L224" s="3">
        <v>1347555</v>
      </c>
      <c r="M224" s="3">
        <v>2567.6799999999998</v>
      </c>
      <c r="N224" s="4" t="s">
        <v>70</v>
      </c>
      <c r="O224" s="3" t="str">
        <f t="shared" si="10"/>
        <v>Other</v>
      </c>
      <c r="P224" s="11">
        <v>6121000</v>
      </c>
      <c r="Q224" s="3">
        <v>3267500000</v>
      </c>
      <c r="R224" s="3">
        <v>2080300000</v>
      </c>
      <c r="S224" s="11">
        <v>8686000</v>
      </c>
    </row>
    <row r="225" spans="1:19" x14ac:dyDescent="0.35">
      <c r="A225" s="1" t="s">
        <v>58</v>
      </c>
      <c r="B225" s="1" t="str">
        <f t="shared" si="11"/>
        <v>Kotak Mahindra Bank</v>
      </c>
      <c r="C225">
        <v>2656</v>
      </c>
      <c r="D225">
        <v>0</v>
      </c>
      <c r="E225">
        <v>6910</v>
      </c>
      <c r="F225" s="2">
        <v>1915382.1</v>
      </c>
      <c r="G225" s="2">
        <v>1815322.02</v>
      </c>
      <c r="H225" s="2">
        <v>3310</v>
      </c>
      <c r="I225" s="2">
        <v>1844132.04</v>
      </c>
      <c r="J225" s="2">
        <v>69716</v>
      </c>
      <c r="K225" s="3">
        <v>0</v>
      </c>
      <c r="L225" s="3">
        <v>69716</v>
      </c>
      <c r="M225" s="3">
        <v>95216.08</v>
      </c>
      <c r="N225" s="4" t="s">
        <v>70</v>
      </c>
      <c r="O225" s="3" t="str">
        <f t="shared" si="10"/>
        <v>Other</v>
      </c>
      <c r="P225" s="11">
        <v>6121000</v>
      </c>
      <c r="Q225" s="3">
        <v>3267500000</v>
      </c>
      <c r="R225" s="3">
        <v>2080300000</v>
      </c>
      <c r="S225" s="11">
        <v>8686000</v>
      </c>
    </row>
    <row r="226" spans="1:19" x14ac:dyDescent="0.35">
      <c r="A226" s="1" t="s">
        <v>78</v>
      </c>
      <c r="B226" s="1" t="str">
        <f t="shared" si="11"/>
        <v>Mastercard</v>
      </c>
      <c r="C226">
        <v>78</v>
      </c>
      <c r="D226">
        <v>0</v>
      </c>
      <c r="E226">
        <v>353</v>
      </c>
      <c r="F226" s="2">
        <v>125154.92</v>
      </c>
      <c r="G226" s="2">
        <v>125154.92</v>
      </c>
      <c r="H226" s="2">
        <v>0</v>
      </c>
      <c r="I226" s="2">
        <v>117391.92</v>
      </c>
      <c r="J226" s="2">
        <v>7763</v>
      </c>
      <c r="K226" s="3">
        <v>0</v>
      </c>
      <c r="L226" s="3">
        <v>7763</v>
      </c>
      <c r="M226" s="3">
        <v>0</v>
      </c>
      <c r="N226" s="4" t="s">
        <v>70</v>
      </c>
      <c r="O226" s="3" t="str">
        <f t="shared" si="10"/>
        <v>Other</v>
      </c>
      <c r="P226" s="11">
        <v>6121000</v>
      </c>
      <c r="Q226" s="3">
        <v>3267500000</v>
      </c>
      <c r="R226" s="3">
        <v>2080300000</v>
      </c>
      <c r="S226" s="11">
        <v>8686000</v>
      </c>
    </row>
    <row r="227" spans="1:19" x14ac:dyDescent="0.35">
      <c r="A227" s="1" t="s">
        <v>79</v>
      </c>
      <c r="B227" s="1" t="str">
        <f t="shared" si="11"/>
        <v>Mastercard</v>
      </c>
      <c r="C227">
        <v>715</v>
      </c>
      <c r="D227">
        <v>0</v>
      </c>
      <c r="E227">
        <v>2397</v>
      </c>
      <c r="F227" s="2">
        <v>632381.49</v>
      </c>
      <c r="G227" s="2">
        <v>160503.24</v>
      </c>
      <c r="H227" s="2">
        <v>471878.25</v>
      </c>
      <c r="I227" s="2">
        <v>560881.49</v>
      </c>
      <c r="J227" s="2">
        <v>71500</v>
      </c>
      <c r="K227" s="3">
        <v>0</v>
      </c>
      <c r="L227" s="3">
        <v>71500</v>
      </c>
      <c r="M227" s="3">
        <v>0</v>
      </c>
      <c r="N227" s="4" t="s">
        <v>70</v>
      </c>
      <c r="O227" s="3" t="str">
        <f t="shared" si="10"/>
        <v>Other</v>
      </c>
      <c r="P227" s="11">
        <v>6121000</v>
      </c>
      <c r="Q227" s="3">
        <v>3267500000</v>
      </c>
      <c r="R227" s="3">
        <v>2080300000</v>
      </c>
      <c r="S227" s="11">
        <v>8686000</v>
      </c>
    </row>
    <row r="228" spans="1:19" x14ac:dyDescent="0.35">
      <c r="A228" s="1" t="s">
        <v>80</v>
      </c>
      <c r="B228" s="1" t="str">
        <f t="shared" si="11"/>
        <v>State Bank of India</v>
      </c>
      <c r="C228">
        <v>88</v>
      </c>
      <c r="D228">
        <v>0</v>
      </c>
      <c r="E228">
        <v>327</v>
      </c>
      <c r="F228" s="2">
        <v>81142.679999999993</v>
      </c>
      <c r="G228" s="2">
        <v>81142.679999999993</v>
      </c>
      <c r="H228" s="2">
        <v>0</v>
      </c>
      <c r="I228" s="2">
        <v>74349.679999999993</v>
      </c>
      <c r="J228" s="2">
        <v>6793</v>
      </c>
      <c r="K228" s="3">
        <v>3396.5</v>
      </c>
      <c r="L228" s="3">
        <v>3396.5</v>
      </c>
      <c r="M228" s="3">
        <v>0</v>
      </c>
      <c r="N228" s="4" t="s">
        <v>70</v>
      </c>
      <c r="O228" s="3" t="str">
        <f t="shared" si="10"/>
        <v>Offline - Box Office</v>
      </c>
      <c r="P228" s="11">
        <v>6121000</v>
      </c>
      <c r="Q228" s="3">
        <v>3267500000</v>
      </c>
      <c r="R228" s="3">
        <v>2080300000</v>
      </c>
      <c r="S228" s="11">
        <v>8686000</v>
      </c>
    </row>
    <row r="229" spans="1:19" x14ac:dyDescent="0.35">
      <c r="A229" s="1" t="s">
        <v>65</v>
      </c>
      <c r="B229" s="1" t="str">
        <f t="shared" si="11"/>
        <v>State Bank of India</v>
      </c>
      <c r="C229">
        <v>922</v>
      </c>
      <c r="D229">
        <v>0</v>
      </c>
      <c r="E229">
        <v>2869</v>
      </c>
      <c r="F229" s="2">
        <v>939967.32</v>
      </c>
      <c r="G229" s="2">
        <v>797610.54</v>
      </c>
      <c r="H229" s="2">
        <v>25535</v>
      </c>
      <c r="I229" s="2">
        <v>865989.32</v>
      </c>
      <c r="J229" s="2">
        <v>71976</v>
      </c>
      <c r="K229" s="3">
        <v>35988</v>
      </c>
      <c r="L229" s="3">
        <v>35988</v>
      </c>
      <c r="M229" s="3">
        <v>114819.78</v>
      </c>
      <c r="N229" s="4" t="s">
        <v>70</v>
      </c>
      <c r="O229" s="3" t="str">
        <f t="shared" si="10"/>
        <v>Online</v>
      </c>
      <c r="P229" s="11">
        <v>6121000</v>
      </c>
      <c r="Q229" s="3">
        <v>3267500000</v>
      </c>
      <c r="R229" s="3">
        <v>2080300000</v>
      </c>
      <c r="S229" s="11">
        <v>8686000</v>
      </c>
    </row>
    <row r="230" spans="1:19" x14ac:dyDescent="0.35">
      <c r="A230" s="1" t="s">
        <v>66</v>
      </c>
      <c r="B230" s="1" t="str">
        <f t="shared" si="11"/>
        <v>State Bank of India</v>
      </c>
      <c r="C230">
        <v>5067</v>
      </c>
      <c r="D230">
        <v>0</v>
      </c>
      <c r="E230">
        <v>19230</v>
      </c>
      <c r="F230" s="2">
        <v>4497324.29</v>
      </c>
      <c r="G230" s="2">
        <v>0</v>
      </c>
      <c r="H230" s="2">
        <v>4497324.29</v>
      </c>
      <c r="I230" s="2">
        <v>4104856.29</v>
      </c>
      <c r="J230" s="2">
        <v>392468</v>
      </c>
      <c r="K230" s="3">
        <v>196234</v>
      </c>
      <c r="L230" s="3">
        <v>196234</v>
      </c>
      <c r="M230" s="3">
        <v>0</v>
      </c>
      <c r="N230" s="4" t="s">
        <v>70</v>
      </c>
      <c r="O230" s="3" t="str">
        <f t="shared" si="10"/>
        <v>Offline - F&amp;B</v>
      </c>
      <c r="P230" s="11">
        <v>6121000</v>
      </c>
      <c r="Q230" s="3">
        <v>3267500000</v>
      </c>
      <c r="R230" s="3">
        <v>2080300000</v>
      </c>
      <c r="S230" s="11">
        <v>8686000</v>
      </c>
    </row>
    <row r="231" spans="1:19" x14ac:dyDescent="0.35">
      <c r="A231" s="1" t="s">
        <v>81</v>
      </c>
      <c r="B231" s="1" t="str">
        <f t="shared" si="11"/>
        <v>Scapia</v>
      </c>
      <c r="C231">
        <v>127</v>
      </c>
      <c r="D231">
        <v>127</v>
      </c>
      <c r="E231">
        <v>317</v>
      </c>
      <c r="F231" s="2">
        <v>103196.68</v>
      </c>
      <c r="G231" s="2">
        <v>87414.74</v>
      </c>
      <c r="H231" s="2">
        <v>2980</v>
      </c>
      <c r="I231" s="2">
        <v>90302.56</v>
      </c>
      <c r="J231" s="2">
        <v>12660.12</v>
      </c>
      <c r="K231" s="3">
        <v>12660.12</v>
      </c>
      <c r="L231" s="3">
        <v>0</v>
      </c>
      <c r="M231" s="3">
        <v>12567.94</v>
      </c>
      <c r="N231" s="4" t="s">
        <v>70</v>
      </c>
      <c r="O231" s="3" t="str">
        <f t="shared" si="10"/>
        <v>Online</v>
      </c>
      <c r="P231" s="11">
        <v>6121000</v>
      </c>
      <c r="Q231" s="3">
        <v>3267500000</v>
      </c>
      <c r="R231" s="3">
        <v>2080300000</v>
      </c>
      <c r="S231" s="11">
        <v>8686000</v>
      </c>
    </row>
    <row r="232" spans="1:19" x14ac:dyDescent="0.35">
      <c r="A232" s="1" t="s">
        <v>40</v>
      </c>
      <c r="B232" s="1" t="str">
        <f t="shared" si="11"/>
        <v>Standard Chartered Bank</v>
      </c>
      <c r="C232">
        <v>7</v>
      </c>
      <c r="D232">
        <v>7</v>
      </c>
      <c r="E232">
        <v>16</v>
      </c>
      <c r="F232" s="2">
        <v>3955</v>
      </c>
      <c r="G232" s="2">
        <v>3955</v>
      </c>
      <c r="H232" s="2">
        <v>0</v>
      </c>
      <c r="I232" s="2">
        <v>2776</v>
      </c>
      <c r="J232" s="2">
        <v>1179</v>
      </c>
      <c r="K232" s="3">
        <v>1179</v>
      </c>
      <c r="L232" s="3">
        <v>0</v>
      </c>
      <c r="M232" s="3">
        <v>0</v>
      </c>
      <c r="N232" s="4" t="s">
        <v>70</v>
      </c>
      <c r="O232" s="3" t="str">
        <f t="shared" si="10"/>
        <v>Offline - Box Office</v>
      </c>
      <c r="P232" s="11">
        <v>6121000</v>
      </c>
      <c r="Q232" s="3">
        <v>3267500000</v>
      </c>
      <c r="R232" s="3">
        <v>2080300000</v>
      </c>
      <c r="S232" s="11">
        <v>8686000</v>
      </c>
    </row>
    <row r="233" spans="1:19" x14ac:dyDescent="0.35">
      <c r="A233" s="1" t="s">
        <v>41</v>
      </c>
      <c r="B233" s="1" t="str">
        <f t="shared" si="11"/>
        <v>Standard Chartered Bank</v>
      </c>
      <c r="C233">
        <v>9</v>
      </c>
      <c r="D233">
        <v>9</v>
      </c>
      <c r="E233">
        <v>18</v>
      </c>
      <c r="F233" s="2">
        <v>4674.16</v>
      </c>
      <c r="G233" s="2">
        <v>4058</v>
      </c>
      <c r="H233" s="2">
        <v>0</v>
      </c>
      <c r="I233" s="2">
        <v>2893.16</v>
      </c>
      <c r="J233" s="2">
        <v>1769</v>
      </c>
      <c r="K233" s="3">
        <v>1769</v>
      </c>
      <c r="L233" s="3">
        <v>0</v>
      </c>
      <c r="M233" s="3">
        <v>604.16</v>
      </c>
      <c r="N233" s="4" t="s">
        <v>70</v>
      </c>
      <c r="O233" s="3" t="str">
        <f t="shared" si="10"/>
        <v>Online</v>
      </c>
      <c r="P233" s="11">
        <v>6121000</v>
      </c>
      <c r="Q233" s="3">
        <v>3267500000</v>
      </c>
      <c r="R233" s="3">
        <v>2080300000</v>
      </c>
      <c r="S233" s="11">
        <v>8686000</v>
      </c>
    </row>
    <row r="234" spans="1:19" x14ac:dyDescent="0.35">
      <c r="A234" s="1" t="s">
        <v>68</v>
      </c>
      <c r="B234" s="1" t="s">
        <v>69</v>
      </c>
      <c r="C234">
        <v>291</v>
      </c>
      <c r="D234">
        <v>291</v>
      </c>
      <c r="E234">
        <v>858</v>
      </c>
      <c r="F234" s="2">
        <v>390207.63</v>
      </c>
      <c r="G234" s="2">
        <v>390226.52</v>
      </c>
      <c r="H234" s="2">
        <v>229</v>
      </c>
      <c r="I234" s="2">
        <v>283208.11</v>
      </c>
      <c r="J234" s="2">
        <v>106999.52</v>
      </c>
      <c r="K234" s="3">
        <v>53499.77</v>
      </c>
      <c r="L234" s="3">
        <v>53499.77</v>
      </c>
      <c r="M234" s="3">
        <v>0</v>
      </c>
      <c r="N234" s="4" t="s">
        <v>82</v>
      </c>
      <c r="O234" s="3" t="str">
        <f t="shared" si="10"/>
        <v>Offline - Box Office</v>
      </c>
      <c r="P234" s="11">
        <v>8773000</v>
      </c>
      <c r="Q234" s="3">
        <v>5483400000</v>
      </c>
      <c r="R234" s="3">
        <v>3606600000</v>
      </c>
      <c r="S234" s="11">
        <v>13100000</v>
      </c>
    </row>
    <row r="235" spans="1:19" x14ac:dyDescent="0.35">
      <c r="A235" s="1" t="s">
        <v>71</v>
      </c>
      <c r="B235" s="1" t="s">
        <v>69</v>
      </c>
      <c r="C235">
        <v>1050</v>
      </c>
      <c r="D235">
        <v>1050</v>
      </c>
      <c r="E235">
        <v>2877</v>
      </c>
      <c r="F235" s="2">
        <v>1676585.9</v>
      </c>
      <c r="G235" s="2">
        <v>1483673.12</v>
      </c>
      <c r="H235" s="2">
        <v>15150</v>
      </c>
      <c r="I235" s="2">
        <v>1250103.02</v>
      </c>
      <c r="J235" s="2">
        <v>422882.88</v>
      </c>
      <c r="K235" s="3">
        <v>211441.46</v>
      </c>
      <c r="L235" s="3">
        <v>211441.46</v>
      </c>
      <c r="M235" s="3">
        <v>174281</v>
      </c>
      <c r="N235" s="4" t="s">
        <v>82</v>
      </c>
      <c r="O235" s="3" t="str">
        <f t="shared" si="10"/>
        <v>Online</v>
      </c>
      <c r="P235" s="11">
        <v>8773000</v>
      </c>
      <c r="Q235" s="3">
        <v>5483400000</v>
      </c>
      <c r="R235" s="3">
        <v>3606600000</v>
      </c>
      <c r="S235" s="11">
        <v>13100000</v>
      </c>
    </row>
    <row r="236" spans="1:19" x14ac:dyDescent="0.35">
      <c r="A236" s="1" t="s">
        <v>59</v>
      </c>
      <c r="B236" s="1" t="str">
        <f t="shared" ref="B236:B267" si="12">IF(ISNUMBER(SEARCH("AXIS",A236)),"Axis Bank",
IF(ISNUMBER(SEARCH("HDFC",A236)),"HDFC Bank",
IF(ISNUMBER(SEARCH("ICICI",A236)),"ICICI Bank",
IF(ISNUMBER(SEARCH("AU",A236)),"AU Bank",
IF(ISNUMBER(SEARCH("KOTAK",A236)),"Kotak Mahindra Bank",
IF(ISNUMBER(SEARCH("SBI",A236)),"State Bank of India",
IF(ISNUMBER(SEARCH("HSBC",A236)),"HSBC",
IF(ISNUMBER(SEARCH("DBS",A236)),"DBS Bank",
IF(ISNUMBER(SEARCH("SCAPIA",A236)),"Scapia",
IF(ISNUMBER(SEARCH("STANDARD CHARTERED",A236)),"Standard Chartered Bank",
IF(ISNUMBER(SEARCH("IDBI",A236)),"IDBI Bank",
IF(ISNUMBER(SEARCH("J&amp;K",A236)),"J&amp;K Bank",
IF(ISNUMBER(SEARCH("JAMMU",A236)),"J&amp;K Bank",
IF(ISNUMBER(SEARCH("FEDERAL",A236)),"Federal Bank",
IF(ISNUMBER(SEARCH("BOBCARD",A236)),"BOB Card",
IF(ISNUMBER(SEARCH("BANK OF BARODA",A236)),"BOB Card",
IF(ISNUMBER(SEARCH("AMEX",A236)),"American Express",
IF(ISNUMBER(SEARCH("PLATINUM",A236)),"American Express",
IF(ISNUMBER(SEARCH("CENTURION",A236)),"American Express",
IF(ISNUMBER(SEARCH("VISA",A236)),"Visa",
IF(ISNUMBER(SEARCH("MASTERCARD",A236)),"Mastercard",
"")))))))))))))))))))))</f>
        <v>AU Bank</v>
      </c>
      <c r="C236">
        <v>2</v>
      </c>
      <c r="D236">
        <v>0</v>
      </c>
      <c r="E236">
        <v>5</v>
      </c>
      <c r="F236" s="2">
        <v>1160</v>
      </c>
      <c r="G236" s="2">
        <v>1160</v>
      </c>
      <c r="H236" s="2">
        <v>0</v>
      </c>
      <c r="I236" s="2">
        <v>960</v>
      </c>
      <c r="J236" s="2">
        <v>200</v>
      </c>
      <c r="K236" s="3">
        <v>200</v>
      </c>
      <c r="L236" s="3">
        <v>0</v>
      </c>
      <c r="M236" s="3">
        <v>0</v>
      </c>
      <c r="N236" s="4" t="s">
        <v>82</v>
      </c>
      <c r="O236" s="3" t="str">
        <f t="shared" si="10"/>
        <v>Offline - Box Office</v>
      </c>
      <c r="P236" s="11">
        <v>8773000</v>
      </c>
      <c r="Q236" s="3">
        <v>5483400000</v>
      </c>
      <c r="R236" s="3">
        <v>3606600000</v>
      </c>
      <c r="S236" s="11">
        <v>13100000</v>
      </c>
    </row>
    <row r="237" spans="1:19" x14ac:dyDescent="0.35">
      <c r="A237" s="1" t="s">
        <v>19</v>
      </c>
      <c r="B237" s="1" t="str">
        <f t="shared" si="12"/>
        <v>AU Bank</v>
      </c>
      <c r="C237">
        <v>390</v>
      </c>
      <c r="D237">
        <v>0</v>
      </c>
      <c r="E237">
        <v>1207</v>
      </c>
      <c r="F237" s="2">
        <v>466498.34</v>
      </c>
      <c r="G237" s="2">
        <v>399753.68</v>
      </c>
      <c r="H237" s="2">
        <v>11010</v>
      </c>
      <c r="I237" s="2">
        <v>426366.34</v>
      </c>
      <c r="J237" s="2">
        <v>39000</v>
      </c>
      <c r="K237" s="3">
        <v>39000</v>
      </c>
      <c r="L237" s="3">
        <v>0</v>
      </c>
      <c r="M237" s="3">
        <v>54827.16</v>
      </c>
      <c r="N237" s="4" t="s">
        <v>82</v>
      </c>
      <c r="O237" s="3" t="str">
        <f t="shared" si="10"/>
        <v>Online</v>
      </c>
      <c r="P237" s="11">
        <v>8773000</v>
      </c>
      <c r="Q237" s="3">
        <v>5483400000</v>
      </c>
      <c r="R237" s="3">
        <v>3606600000</v>
      </c>
      <c r="S237" s="11">
        <v>13100000</v>
      </c>
    </row>
    <row r="238" spans="1:19" x14ac:dyDescent="0.35">
      <c r="A238" s="1" t="s">
        <v>21</v>
      </c>
      <c r="B238" s="1" t="str">
        <f t="shared" si="12"/>
        <v>AU Bank</v>
      </c>
      <c r="C238">
        <v>96</v>
      </c>
      <c r="D238">
        <v>0</v>
      </c>
      <c r="E238">
        <v>111</v>
      </c>
      <c r="F238" s="2">
        <v>50836.31</v>
      </c>
      <c r="G238" s="2">
        <v>47253.99</v>
      </c>
      <c r="H238" s="2">
        <v>3310</v>
      </c>
      <c r="I238" s="2">
        <v>41228.31</v>
      </c>
      <c r="J238" s="2">
        <v>9600</v>
      </c>
      <c r="K238" s="3">
        <v>6720</v>
      </c>
      <c r="L238" s="3">
        <v>2880</v>
      </c>
      <c r="M238" s="3">
        <v>264.32</v>
      </c>
      <c r="N238" s="4" t="s">
        <v>82</v>
      </c>
      <c r="O238" s="3" t="str">
        <f t="shared" si="10"/>
        <v>Online</v>
      </c>
      <c r="P238" s="11">
        <v>8773000</v>
      </c>
      <c r="Q238" s="3">
        <v>5483400000</v>
      </c>
      <c r="R238" s="3">
        <v>3606600000</v>
      </c>
      <c r="S238" s="11">
        <v>13100000</v>
      </c>
    </row>
    <row r="239" spans="1:19" x14ac:dyDescent="0.35">
      <c r="A239" s="1" t="s">
        <v>22</v>
      </c>
      <c r="B239" s="1" t="str">
        <f t="shared" si="12"/>
        <v>AU Bank</v>
      </c>
      <c r="C239">
        <v>1168</v>
      </c>
      <c r="D239">
        <v>0</v>
      </c>
      <c r="E239">
        <v>2956</v>
      </c>
      <c r="F239" s="2">
        <v>873751.43</v>
      </c>
      <c r="G239" s="2">
        <v>0</v>
      </c>
      <c r="H239" s="2">
        <v>873751.43</v>
      </c>
      <c r="I239" s="2">
        <v>756951.43</v>
      </c>
      <c r="J239" s="2">
        <v>116800</v>
      </c>
      <c r="K239" s="3">
        <v>81760</v>
      </c>
      <c r="L239" s="3">
        <v>35040</v>
      </c>
      <c r="M239" s="3">
        <v>0</v>
      </c>
      <c r="N239" s="4" t="s">
        <v>82</v>
      </c>
      <c r="O239" s="3" t="str">
        <f t="shared" si="10"/>
        <v>Offline - F&amp;B</v>
      </c>
      <c r="P239" s="11">
        <v>8773000</v>
      </c>
      <c r="Q239" s="3">
        <v>5483400000</v>
      </c>
      <c r="R239" s="3">
        <v>3606600000</v>
      </c>
      <c r="S239" s="11">
        <v>13100000</v>
      </c>
    </row>
    <row r="240" spans="1:19" x14ac:dyDescent="0.35">
      <c r="A240" s="1" t="s">
        <v>43</v>
      </c>
      <c r="B240" s="1" t="str">
        <f t="shared" si="12"/>
        <v>Axis Bank</v>
      </c>
      <c r="C240">
        <v>24</v>
      </c>
      <c r="D240">
        <v>24</v>
      </c>
      <c r="E240">
        <v>78</v>
      </c>
      <c r="F240" s="2">
        <v>22295</v>
      </c>
      <c r="G240" s="2">
        <v>22295</v>
      </c>
      <c r="H240" s="2">
        <v>0</v>
      </c>
      <c r="I240" s="2">
        <v>17657</v>
      </c>
      <c r="J240" s="2">
        <v>4638</v>
      </c>
      <c r="K240" s="3">
        <v>4081.44</v>
      </c>
      <c r="L240" s="3">
        <v>556.55999999999995</v>
      </c>
      <c r="M240" s="3">
        <v>0</v>
      </c>
      <c r="N240" s="4" t="s">
        <v>82</v>
      </c>
      <c r="O240" s="3" t="str">
        <f t="shared" si="10"/>
        <v>Offline - Box Office</v>
      </c>
      <c r="P240" s="11">
        <v>8773000</v>
      </c>
      <c r="Q240" s="3">
        <v>5483400000</v>
      </c>
      <c r="R240" s="3">
        <v>3606600000</v>
      </c>
      <c r="S240" s="11">
        <v>13100000</v>
      </c>
    </row>
    <row r="241" spans="1:19" x14ac:dyDescent="0.35">
      <c r="A241" s="1" t="s">
        <v>23</v>
      </c>
      <c r="B241" s="1" t="str">
        <f t="shared" si="12"/>
        <v>Axis Bank</v>
      </c>
      <c r="C241">
        <v>34</v>
      </c>
      <c r="D241">
        <v>34</v>
      </c>
      <c r="E241">
        <v>91</v>
      </c>
      <c r="F241" s="2">
        <v>28304.16</v>
      </c>
      <c r="G241" s="2">
        <v>24180.58</v>
      </c>
      <c r="H241" s="2">
        <v>520</v>
      </c>
      <c r="I241" s="2">
        <v>21606.82</v>
      </c>
      <c r="J241" s="2">
        <v>6627.34</v>
      </c>
      <c r="K241" s="3">
        <v>5633.23</v>
      </c>
      <c r="L241" s="3">
        <v>994.11</v>
      </c>
      <c r="M241" s="3">
        <v>3567.14</v>
      </c>
      <c r="N241" s="4" t="s">
        <v>82</v>
      </c>
      <c r="O241" s="3" t="str">
        <f t="shared" si="10"/>
        <v>Online</v>
      </c>
      <c r="P241" s="11">
        <v>8773000</v>
      </c>
      <c r="Q241" s="3">
        <v>5483400000</v>
      </c>
      <c r="R241" s="3">
        <v>3606600000</v>
      </c>
      <c r="S241" s="11">
        <v>13100000</v>
      </c>
    </row>
    <row r="242" spans="1:19" x14ac:dyDescent="0.35">
      <c r="A242" s="1" t="s">
        <v>44</v>
      </c>
      <c r="B242" s="1" t="str">
        <f t="shared" si="12"/>
        <v>Axis Bank</v>
      </c>
      <c r="C242">
        <v>300</v>
      </c>
      <c r="D242">
        <v>300</v>
      </c>
      <c r="E242">
        <v>791</v>
      </c>
      <c r="F242" s="2">
        <v>205837.84</v>
      </c>
      <c r="G242" s="2">
        <v>205898.86</v>
      </c>
      <c r="H242" s="2">
        <v>0</v>
      </c>
      <c r="I242" s="2">
        <v>148655.79999999999</v>
      </c>
      <c r="J242" s="2">
        <v>57182.04</v>
      </c>
      <c r="K242" s="3">
        <v>50320.29</v>
      </c>
      <c r="L242" s="3">
        <v>6861.75</v>
      </c>
      <c r="M242" s="3">
        <v>0</v>
      </c>
      <c r="N242" s="4" t="s">
        <v>82</v>
      </c>
      <c r="O242" s="3" t="str">
        <f t="shared" si="10"/>
        <v>Offline - Box Office</v>
      </c>
      <c r="P242" s="11">
        <v>8773000</v>
      </c>
      <c r="Q242" s="3">
        <v>5483400000</v>
      </c>
      <c r="R242" s="3">
        <v>3606600000</v>
      </c>
      <c r="S242" s="11">
        <v>13100000</v>
      </c>
    </row>
    <row r="243" spans="1:19" x14ac:dyDescent="0.35">
      <c r="A243" s="1" t="s">
        <v>24</v>
      </c>
      <c r="B243" s="1" t="str">
        <f t="shared" si="12"/>
        <v>Axis Bank</v>
      </c>
      <c r="C243">
        <v>962</v>
      </c>
      <c r="D243">
        <v>962</v>
      </c>
      <c r="E243">
        <v>2233</v>
      </c>
      <c r="F243" s="2">
        <v>628778.23</v>
      </c>
      <c r="G243" s="2">
        <v>545708.52</v>
      </c>
      <c r="H243" s="2">
        <v>3800</v>
      </c>
      <c r="I243" s="2">
        <v>443902.73</v>
      </c>
      <c r="J243" s="2">
        <v>182933.5</v>
      </c>
      <c r="K243" s="3">
        <v>155493.04999999999</v>
      </c>
      <c r="L243" s="3">
        <v>27440.46</v>
      </c>
      <c r="M243" s="3">
        <v>77607.5</v>
      </c>
      <c r="N243" s="4" t="s">
        <v>82</v>
      </c>
      <c r="O243" s="3" t="str">
        <f t="shared" si="10"/>
        <v>Online</v>
      </c>
      <c r="P243" s="11">
        <v>8773000</v>
      </c>
      <c r="Q243" s="3">
        <v>5483400000</v>
      </c>
      <c r="R243" s="3">
        <v>3606600000</v>
      </c>
      <c r="S243" s="11">
        <v>13100000</v>
      </c>
    </row>
    <row r="244" spans="1:19" x14ac:dyDescent="0.35">
      <c r="A244" s="1" t="s">
        <v>54</v>
      </c>
      <c r="B244" s="1" t="str">
        <f t="shared" si="12"/>
        <v>BOB Card</v>
      </c>
      <c r="C244">
        <v>30</v>
      </c>
      <c r="D244">
        <v>0</v>
      </c>
      <c r="E244">
        <v>55</v>
      </c>
      <c r="F244" s="2">
        <v>23973</v>
      </c>
      <c r="G244" s="2">
        <v>23410</v>
      </c>
      <c r="H244" s="2">
        <v>500</v>
      </c>
      <c r="I244" s="2">
        <v>21612</v>
      </c>
      <c r="J244" s="2">
        <v>2357</v>
      </c>
      <c r="K244" s="3">
        <v>1649.9</v>
      </c>
      <c r="L244" s="3">
        <v>707.1</v>
      </c>
      <c r="M244" s="3">
        <v>59</v>
      </c>
      <c r="N244" s="4" t="s">
        <v>82</v>
      </c>
      <c r="O244" s="3" t="str">
        <f t="shared" si="10"/>
        <v>Online</v>
      </c>
      <c r="P244" s="11">
        <v>8773000</v>
      </c>
      <c r="Q244" s="3">
        <v>5483400000</v>
      </c>
      <c r="R244" s="3">
        <v>3606600000</v>
      </c>
      <c r="S244" s="11">
        <v>13100000</v>
      </c>
    </row>
    <row r="245" spans="1:19" x14ac:dyDescent="0.35">
      <c r="A245" s="1" t="s">
        <v>55</v>
      </c>
      <c r="B245" s="1" t="str">
        <f t="shared" si="12"/>
        <v>BOB Card</v>
      </c>
      <c r="C245">
        <v>727</v>
      </c>
      <c r="D245">
        <v>0</v>
      </c>
      <c r="E245">
        <v>2306</v>
      </c>
      <c r="F245" s="2">
        <v>655362.76</v>
      </c>
      <c r="G245" s="2">
        <v>0</v>
      </c>
      <c r="H245" s="2">
        <v>655362.76</v>
      </c>
      <c r="I245" s="2">
        <v>590639.76</v>
      </c>
      <c r="J245" s="2">
        <v>64723</v>
      </c>
      <c r="K245" s="3">
        <v>45306.1</v>
      </c>
      <c r="L245" s="3">
        <v>19416.900000000001</v>
      </c>
      <c r="M245" s="3">
        <v>0</v>
      </c>
      <c r="N245" s="4" t="s">
        <v>82</v>
      </c>
      <c r="O245" s="3" t="str">
        <f t="shared" si="10"/>
        <v>Offline - F&amp;B</v>
      </c>
      <c r="P245" s="11">
        <v>8773000</v>
      </c>
      <c r="Q245" s="3">
        <v>5483400000</v>
      </c>
      <c r="R245" s="3">
        <v>3606600000</v>
      </c>
      <c r="S245" s="11">
        <v>13100000</v>
      </c>
    </row>
    <row r="246" spans="1:19" x14ac:dyDescent="0.35">
      <c r="A246" s="1" t="s">
        <v>72</v>
      </c>
      <c r="B246" s="1" t="str">
        <f t="shared" si="12"/>
        <v>BOB Card</v>
      </c>
      <c r="C246">
        <v>236</v>
      </c>
      <c r="D246">
        <v>0</v>
      </c>
      <c r="E246">
        <v>748</v>
      </c>
      <c r="F246" s="2">
        <v>210298.14</v>
      </c>
      <c r="G246" s="2">
        <v>210394.88</v>
      </c>
      <c r="H246" s="2">
        <v>0</v>
      </c>
      <c r="I246" s="2">
        <v>178351.14</v>
      </c>
      <c r="J246" s="2">
        <v>31947</v>
      </c>
      <c r="K246" s="3">
        <v>28113.360000000001</v>
      </c>
      <c r="L246" s="3">
        <v>3833.64</v>
      </c>
      <c r="M246" s="3">
        <v>0</v>
      </c>
      <c r="N246" s="4" t="s">
        <v>82</v>
      </c>
      <c r="O246" s="3" t="str">
        <f t="shared" si="10"/>
        <v>Offline - Box Office</v>
      </c>
      <c r="P246" s="11">
        <v>8773000</v>
      </c>
      <c r="Q246" s="3">
        <v>5483400000</v>
      </c>
      <c r="R246" s="3">
        <v>3606600000</v>
      </c>
      <c r="S246" s="11">
        <v>13100000</v>
      </c>
    </row>
    <row r="247" spans="1:19" x14ac:dyDescent="0.35">
      <c r="A247" s="1" t="s">
        <v>56</v>
      </c>
      <c r="B247" s="1" t="str">
        <f t="shared" si="12"/>
        <v>BOB Card</v>
      </c>
      <c r="C247">
        <v>919</v>
      </c>
      <c r="D247">
        <v>0</v>
      </c>
      <c r="E247">
        <v>2685</v>
      </c>
      <c r="F247" s="2">
        <v>828809.35</v>
      </c>
      <c r="G247" s="2">
        <v>709700.92</v>
      </c>
      <c r="H247" s="2">
        <v>13120</v>
      </c>
      <c r="I247" s="2">
        <v>707778.35</v>
      </c>
      <c r="J247" s="2">
        <v>118731</v>
      </c>
      <c r="K247" s="3">
        <v>104483.28</v>
      </c>
      <c r="L247" s="3">
        <v>14247.72</v>
      </c>
      <c r="M247" s="3">
        <v>104196.12</v>
      </c>
      <c r="N247" s="4" t="s">
        <v>82</v>
      </c>
      <c r="O247" s="3" t="str">
        <f t="shared" si="10"/>
        <v>Online</v>
      </c>
      <c r="P247" s="11">
        <v>8773000</v>
      </c>
      <c r="Q247" s="3">
        <v>5483400000</v>
      </c>
      <c r="R247" s="3">
        <v>3606600000</v>
      </c>
      <c r="S247" s="11">
        <v>13100000</v>
      </c>
    </row>
    <row r="248" spans="1:19" x14ac:dyDescent="0.35">
      <c r="A248" s="1" t="s">
        <v>83</v>
      </c>
      <c r="B248" s="1" t="str">
        <f t="shared" si="12"/>
        <v>DBS Bank</v>
      </c>
      <c r="C248">
        <v>4</v>
      </c>
      <c r="D248">
        <v>0</v>
      </c>
      <c r="E248">
        <v>8</v>
      </c>
      <c r="F248" s="2">
        <v>6029.32</v>
      </c>
      <c r="G248" s="2">
        <v>2463.12</v>
      </c>
      <c r="H248" s="2">
        <v>3330</v>
      </c>
      <c r="I248" s="2">
        <v>5417.32</v>
      </c>
      <c r="J248" s="2">
        <v>600</v>
      </c>
      <c r="K248" s="3">
        <v>600</v>
      </c>
      <c r="L248" s="3">
        <v>0</v>
      </c>
      <c r="M248" s="3">
        <v>224.2</v>
      </c>
      <c r="N248" s="4" t="s">
        <v>82</v>
      </c>
      <c r="O248" s="3" t="str">
        <f t="shared" si="10"/>
        <v>Online</v>
      </c>
      <c r="P248" s="11">
        <v>8773000</v>
      </c>
      <c r="Q248" s="3">
        <v>5483400000</v>
      </c>
      <c r="R248" s="3">
        <v>3606600000</v>
      </c>
      <c r="S248" s="11">
        <v>13100000</v>
      </c>
    </row>
    <row r="249" spans="1:19" x14ac:dyDescent="0.35">
      <c r="A249" s="1" t="s">
        <v>84</v>
      </c>
      <c r="B249" s="1" t="str">
        <f t="shared" si="12"/>
        <v>DBS Bank</v>
      </c>
      <c r="C249">
        <v>47</v>
      </c>
      <c r="D249">
        <v>0</v>
      </c>
      <c r="E249">
        <v>205</v>
      </c>
      <c r="F249" s="2">
        <v>55815.09</v>
      </c>
      <c r="G249" s="2">
        <v>0</v>
      </c>
      <c r="H249" s="2">
        <v>55815.09</v>
      </c>
      <c r="I249" s="2">
        <v>48765.09</v>
      </c>
      <c r="J249" s="2">
        <v>7050</v>
      </c>
      <c r="K249" s="3">
        <v>7050</v>
      </c>
      <c r="L249" s="3">
        <v>0</v>
      </c>
      <c r="M249" s="3">
        <v>0</v>
      </c>
      <c r="N249" s="4" t="s">
        <v>82</v>
      </c>
      <c r="O249" s="3" t="str">
        <f t="shared" si="10"/>
        <v>Offline - F&amp;B</v>
      </c>
      <c r="P249" s="11">
        <v>8773000</v>
      </c>
      <c r="Q249" s="3">
        <v>5483400000</v>
      </c>
      <c r="R249" s="3">
        <v>3606600000</v>
      </c>
      <c r="S249" s="11">
        <v>13100000</v>
      </c>
    </row>
    <row r="250" spans="1:19" x14ac:dyDescent="0.35">
      <c r="A250" s="1" t="s">
        <v>85</v>
      </c>
      <c r="B250" s="1" t="str">
        <f t="shared" si="12"/>
        <v>DBS Bank</v>
      </c>
      <c r="C250">
        <v>42</v>
      </c>
      <c r="D250">
        <v>42</v>
      </c>
      <c r="E250">
        <v>117</v>
      </c>
      <c r="F250" s="2">
        <v>27977.84</v>
      </c>
      <c r="G250" s="2">
        <v>28019.02</v>
      </c>
      <c r="H250" s="2">
        <v>0</v>
      </c>
      <c r="I250" s="2">
        <v>19381.490000000002</v>
      </c>
      <c r="J250" s="2">
        <v>8596.35</v>
      </c>
      <c r="K250" s="3">
        <v>8596.35</v>
      </c>
      <c r="L250" s="3">
        <v>0</v>
      </c>
      <c r="M250" s="3">
        <v>0</v>
      </c>
      <c r="N250" s="4" t="s">
        <v>82</v>
      </c>
      <c r="O250" s="3" t="str">
        <f t="shared" si="10"/>
        <v>Offline - Box Office</v>
      </c>
      <c r="P250" s="11">
        <v>8773000</v>
      </c>
      <c r="Q250" s="3">
        <v>5483400000</v>
      </c>
      <c r="R250" s="3">
        <v>3606600000</v>
      </c>
      <c r="S250" s="11">
        <v>13100000</v>
      </c>
    </row>
    <row r="251" spans="1:19" x14ac:dyDescent="0.35">
      <c r="A251" s="1" t="s">
        <v>86</v>
      </c>
      <c r="B251" s="1" t="str">
        <f t="shared" si="12"/>
        <v>DBS Bank</v>
      </c>
      <c r="C251">
        <v>257</v>
      </c>
      <c r="D251">
        <v>257</v>
      </c>
      <c r="E251">
        <v>637</v>
      </c>
      <c r="F251" s="2">
        <v>178725.85</v>
      </c>
      <c r="G251" s="2">
        <v>153437.87</v>
      </c>
      <c r="H251" s="2">
        <v>2250</v>
      </c>
      <c r="I251" s="2">
        <v>126669.94</v>
      </c>
      <c r="J251" s="2">
        <v>51567.91</v>
      </c>
      <c r="K251" s="3">
        <v>51567.91</v>
      </c>
      <c r="L251" s="3">
        <v>0</v>
      </c>
      <c r="M251" s="3">
        <v>22608.28</v>
      </c>
      <c r="N251" s="4" t="s">
        <v>82</v>
      </c>
      <c r="O251" s="3" t="str">
        <f t="shared" si="10"/>
        <v>Online</v>
      </c>
      <c r="P251" s="11">
        <v>8773000</v>
      </c>
      <c r="Q251" s="3">
        <v>5483400000</v>
      </c>
      <c r="R251" s="3">
        <v>3606600000</v>
      </c>
      <c r="S251" s="11">
        <v>13100000</v>
      </c>
    </row>
    <row r="252" spans="1:19" x14ac:dyDescent="0.35">
      <c r="A252" s="1" t="s">
        <v>73</v>
      </c>
      <c r="B252" s="1" t="str">
        <f t="shared" si="12"/>
        <v>Federal Bank</v>
      </c>
      <c r="C252">
        <v>1038</v>
      </c>
      <c r="D252">
        <v>1038</v>
      </c>
      <c r="E252">
        <v>2862</v>
      </c>
      <c r="F252" s="2">
        <v>703468.86</v>
      </c>
      <c r="G252" s="2">
        <v>702149.58</v>
      </c>
      <c r="H252" s="2">
        <v>1330</v>
      </c>
      <c r="I252" s="2">
        <v>599955.77</v>
      </c>
      <c r="J252" s="2">
        <v>103513.09</v>
      </c>
      <c r="K252" s="3">
        <v>82810.490000000005</v>
      </c>
      <c r="L252" s="3">
        <v>20702.599999999999</v>
      </c>
      <c r="M252" s="3">
        <v>0</v>
      </c>
      <c r="N252" s="4" t="s">
        <v>82</v>
      </c>
      <c r="O252" s="3" t="str">
        <f t="shared" si="10"/>
        <v>Offline - Box Office</v>
      </c>
      <c r="P252" s="11">
        <v>8773000</v>
      </c>
      <c r="Q252" s="3">
        <v>5483400000</v>
      </c>
      <c r="R252" s="3">
        <v>3606600000</v>
      </c>
      <c r="S252" s="11">
        <v>13100000</v>
      </c>
    </row>
    <row r="253" spans="1:19" x14ac:dyDescent="0.35">
      <c r="A253" s="1" t="s">
        <v>74</v>
      </c>
      <c r="B253" s="1" t="str">
        <f t="shared" si="12"/>
        <v>Federal Bank</v>
      </c>
      <c r="C253">
        <v>689</v>
      </c>
      <c r="D253">
        <v>689</v>
      </c>
      <c r="E253">
        <v>1741</v>
      </c>
      <c r="F253" s="2">
        <v>472580.11</v>
      </c>
      <c r="G253" s="2">
        <v>398511.73</v>
      </c>
      <c r="H253" s="2">
        <v>11390</v>
      </c>
      <c r="I253" s="2">
        <v>402918.1</v>
      </c>
      <c r="J253" s="2">
        <v>68156.009999999995</v>
      </c>
      <c r="K253" s="3">
        <v>54524.88</v>
      </c>
      <c r="L253" s="3">
        <v>13631.13</v>
      </c>
      <c r="M253" s="3">
        <v>61227.22</v>
      </c>
      <c r="N253" s="4" t="s">
        <v>82</v>
      </c>
      <c r="O253" s="3" t="str">
        <f t="shared" si="10"/>
        <v>Online</v>
      </c>
      <c r="P253" s="11">
        <v>8773000</v>
      </c>
      <c r="Q253" s="3">
        <v>5483400000</v>
      </c>
      <c r="R253" s="3">
        <v>3606600000</v>
      </c>
      <c r="S253" s="11">
        <v>13100000</v>
      </c>
    </row>
    <row r="254" spans="1:19" x14ac:dyDescent="0.35">
      <c r="A254" s="1" t="s">
        <v>27</v>
      </c>
      <c r="B254" s="1" t="str">
        <f t="shared" si="12"/>
        <v>Federal Bank</v>
      </c>
      <c r="C254">
        <v>25</v>
      </c>
      <c r="D254">
        <v>25</v>
      </c>
      <c r="E254">
        <v>83</v>
      </c>
      <c r="F254" s="2">
        <v>20681.46</v>
      </c>
      <c r="G254" s="2">
        <v>20681.46</v>
      </c>
      <c r="H254" s="2">
        <v>0</v>
      </c>
      <c r="I254" s="2">
        <v>18215.16</v>
      </c>
      <c r="J254" s="2">
        <v>2466.3000000000002</v>
      </c>
      <c r="K254" s="3">
        <v>2466.3000000000002</v>
      </c>
      <c r="L254" s="3">
        <v>0</v>
      </c>
      <c r="M254" s="3">
        <v>0</v>
      </c>
      <c r="N254" s="4" t="s">
        <v>82</v>
      </c>
      <c r="O254" s="3" t="str">
        <f t="shared" si="10"/>
        <v>Offline - Box Office</v>
      </c>
      <c r="P254" s="11">
        <v>8773000</v>
      </c>
      <c r="Q254" s="3">
        <v>5483400000</v>
      </c>
      <c r="R254" s="3">
        <v>3606600000</v>
      </c>
      <c r="S254" s="11">
        <v>13100000</v>
      </c>
    </row>
    <row r="255" spans="1:19" x14ac:dyDescent="0.35">
      <c r="A255" s="1" t="s">
        <v>28</v>
      </c>
      <c r="B255" s="1" t="str">
        <f t="shared" si="12"/>
        <v>Federal Bank</v>
      </c>
      <c r="C255">
        <v>21</v>
      </c>
      <c r="D255">
        <v>21</v>
      </c>
      <c r="E255">
        <v>57</v>
      </c>
      <c r="F255" s="2">
        <v>18888.86</v>
      </c>
      <c r="G255" s="2">
        <v>14484.34</v>
      </c>
      <c r="H255" s="2">
        <v>2250</v>
      </c>
      <c r="I255" s="2">
        <v>16741.86</v>
      </c>
      <c r="J255" s="2">
        <v>2097</v>
      </c>
      <c r="K255" s="3">
        <v>2097</v>
      </c>
      <c r="L255" s="3">
        <v>0</v>
      </c>
      <c r="M255" s="3">
        <v>2104.52</v>
      </c>
      <c r="N255" s="4" t="s">
        <v>82</v>
      </c>
      <c r="O255" s="3" t="str">
        <f t="shared" si="10"/>
        <v>Online</v>
      </c>
      <c r="P255" s="11">
        <v>8773000</v>
      </c>
      <c r="Q255" s="3">
        <v>5483400000</v>
      </c>
      <c r="R255" s="3">
        <v>3606600000</v>
      </c>
      <c r="S255" s="11">
        <v>13100000</v>
      </c>
    </row>
    <row r="256" spans="1:19" x14ac:dyDescent="0.35">
      <c r="A256" s="1" t="s">
        <v>29</v>
      </c>
      <c r="B256" s="1" t="str">
        <f t="shared" si="12"/>
        <v>Federal Bank</v>
      </c>
      <c r="C256">
        <v>110</v>
      </c>
      <c r="D256">
        <v>110</v>
      </c>
      <c r="E256">
        <v>293</v>
      </c>
      <c r="F256" s="2">
        <v>68597.22</v>
      </c>
      <c r="G256" s="2">
        <v>67973.84</v>
      </c>
      <c r="H256" s="2">
        <v>660</v>
      </c>
      <c r="I256" s="2">
        <v>57638.1</v>
      </c>
      <c r="J256" s="2">
        <v>10959.12</v>
      </c>
      <c r="K256" s="3">
        <v>10959.12</v>
      </c>
      <c r="L256" s="3">
        <v>0</v>
      </c>
      <c r="M256" s="3">
        <v>0</v>
      </c>
      <c r="N256" s="4" t="s">
        <v>82</v>
      </c>
      <c r="O256" s="3" t="str">
        <f t="shared" si="10"/>
        <v>Offline - Box Office</v>
      </c>
      <c r="P256" s="11">
        <v>8773000</v>
      </c>
      <c r="Q256" s="3">
        <v>5483400000</v>
      </c>
      <c r="R256" s="3">
        <v>3606600000</v>
      </c>
      <c r="S256" s="11">
        <v>13100000</v>
      </c>
    </row>
    <row r="257" spans="1:19" x14ac:dyDescent="0.35">
      <c r="A257" s="1" t="s">
        <v>30</v>
      </c>
      <c r="B257" s="1" t="str">
        <f t="shared" si="12"/>
        <v>Federal Bank</v>
      </c>
      <c r="C257">
        <v>48</v>
      </c>
      <c r="D257">
        <v>48</v>
      </c>
      <c r="E257">
        <v>117</v>
      </c>
      <c r="F257" s="2">
        <v>34521.480000000003</v>
      </c>
      <c r="G257" s="2">
        <v>29071.48</v>
      </c>
      <c r="H257" s="2">
        <v>1110</v>
      </c>
      <c r="I257" s="2">
        <v>29637.48</v>
      </c>
      <c r="J257" s="2">
        <v>4796</v>
      </c>
      <c r="K257" s="3">
        <v>4796</v>
      </c>
      <c r="L257" s="3">
        <v>0</v>
      </c>
      <c r="M257" s="3">
        <v>4252</v>
      </c>
      <c r="N257" s="4" t="s">
        <v>82</v>
      </c>
      <c r="O257" s="3" t="str">
        <f t="shared" si="10"/>
        <v>Online</v>
      </c>
      <c r="P257" s="11">
        <v>8773000</v>
      </c>
      <c r="Q257" s="3">
        <v>5483400000</v>
      </c>
      <c r="R257" s="3">
        <v>3606600000</v>
      </c>
      <c r="S257" s="11">
        <v>13100000</v>
      </c>
    </row>
    <row r="258" spans="1:19" x14ac:dyDescent="0.35">
      <c r="A258" s="1" t="s">
        <v>31</v>
      </c>
      <c r="B258" s="1" t="str">
        <f t="shared" si="12"/>
        <v>HSBC</v>
      </c>
      <c r="C258">
        <v>11</v>
      </c>
      <c r="D258">
        <v>0</v>
      </c>
      <c r="E258">
        <v>24</v>
      </c>
      <c r="F258" s="2">
        <v>23173.84</v>
      </c>
      <c r="G258" s="2">
        <v>20678</v>
      </c>
      <c r="H258" s="2">
        <v>0</v>
      </c>
      <c r="I258" s="2">
        <v>21073.84</v>
      </c>
      <c r="J258" s="2">
        <v>2068</v>
      </c>
      <c r="K258" s="3">
        <v>1034</v>
      </c>
      <c r="L258" s="3">
        <v>1034</v>
      </c>
      <c r="M258" s="3">
        <v>2463.84</v>
      </c>
      <c r="N258" s="4" t="s">
        <v>82</v>
      </c>
      <c r="O258" s="3" t="str">
        <f t="shared" ref="O258:O321" si="13">IF(ISNUMBER(SEARCH("Box Office",A258)),"Offline - Box Office",
IF(ISNUMBER(SEARCH("Digital Platforms",A258)),"Online",
IF(ISNUMBER(SEARCH("Refuel",A258)),"Offline - F&amp;B",
IF(ISNUMBER(SEARCH("Food &amp; Beverages",A258)),"Offline - F&amp;B",
IF(ISNUMBER(SEARCH("F&amp;B",A258)),"Offline - F&amp;B",
IF(ISNUMBER(SEARCH("Kiosk",A258)),"Offline - Box Office",
IF(ISNUMBER(SEARCH("Cinema",A258)),"Offline - Box Office",
"Other")))))))</f>
        <v>Online</v>
      </c>
      <c r="P258" s="11">
        <v>8773000</v>
      </c>
      <c r="Q258" s="3">
        <v>5483400000</v>
      </c>
      <c r="R258" s="3">
        <v>3606600000</v>
      </c>
      <c r="S258" s="11">
        <v>13100000</v>
      </c>
    </row>
    <row r="259" spans="1:19" x14ac:dyDescent="0.35">
      <c r="A259" s="1" t="s">
        <v>32</v>
      </c>
      <c r="B259" s="1" t="str">
        <f t="shared" si="12"/>
        <v>ICICI Bank</v>
      </c>
      <c r="C259">
        <v>4903</v>
      </c>
      <c r="D259">
        <v>0</v>
      </c>
      <c r="E259">
        <v>14717</v>
      </c>
      <c r="F259" s="2">
        <v>3848781.78</v>
      </c>
      <c r="G259" s="2">
        <v>3848539.32</v>
      </c>
      <c r="H259" s="2">
        <v>3304</v>
      </c>
      <c r="I259" s="2">
        <v>3338585.78</v>
      </c>
      <c r="J259" s="2">
        <v>510196</v>
      </c>
      <c r="K259" s="3">
        <v>448972.48</v>
      </c>
      <c r="L259" s="3">
        <v>61223.519999999997</v>
      </c>
      <c r="M259" s="3">
        <v>0</v>
      </c>
      <c r="N259" s="4" t="s">
        <v>82</v>
      </c>
      <c r="O259" s="3" t="str">
        <f t="shared" si="13"/>
        <v>Offline - Box Office</v>
      </c>
      <c r="P259" s="11">
        <v>8773000</v>
      </c>
      <c r="Q259" s="3">
        <v>5483400000</v>
      </c>
      <c r="R259" s="3">
        <v>3606600000</v>
      </c>
      <c r="S259" s="11">
        <v>13100000</v>
      </c>
    </row>
    <row r="260" spans="1:19" x14ac:dyDescent="0.35">
      <c r="A260" s="1" t="s">
        <v>33</v>
      </c>
      <c r="B260" s="1" t="str">
        <f t="shared" si="12"/>
        <v>ICICI Bank</v>
      </c>
      <c r="C260">
        <v>1714</v>
      </c>
      <c r="D260">
        <v>0</v>
      </c>
      <c r="E260">
        <v>4879</v>
      </c>
      <c r="F260" s="2">
        <v>1523243.8</v>
      </c>
      <c r="G260" s="2">
        <v>1293596.25</v>
      </c>
      <c r="H260" s="2">
        <v>41650</v>
      </c>
      <c r="I260" s="2">
        <v>1339421.8</v>
      </c>
      <c r="J260" s="2">
        <v>179316</v>
      </c>
      <c r="K260" s="3">
        <v>152418.6</v>
      </c>
      <c r="L260" s="3">
        <v>26897.4</v>
      </c>
      <c r="M260" s="3">
        <v>183971.94</v>
      </c>
      <c r="N260" s="4" t="s">
        <v>82</v>
      </c>
      <c r="O260" s="3" t="str">
        <f t="shared" si="13"/>
        <v>Online</v>
      </c>
      <c r="P260" s="11">
        <v>8773000</v>
      </c>
      <c r="Q260" s="3">
        <v>5483400000</v>
      </c>
      <c r="R260" s="3">
        <v>3606600000</v>
      </c>
      <c r="S260" s="11">
        <v>13100000</v>
      </c>
    </row>
    <row r="261" spans="1:19" x14ac:dyDescent="0.35">
      <c r="A261" s="1" t="s">
        <v>34</v>
      </c>
      <c r="B261" s="1" t="str">
        <f t="shared" si="12"/>
        <v>ICICI Bank</v>
      </c>
      <c r="C261">
        <v>650</v>
      </c>
      <c r="D261">
        <v>0</v>
      </c>
      <c r="E261">
        <v>1935</v>
      </c>
      <c r="F261" s="2">
        <v>564899.86</v>
      </c>
      <c r="G261" s="2">
        <v>565170.27</v>
      </c>
      <c r="H261" s="2">
        <v>0</v>
      </c>
      <c r="I261" s="2">
        <v>530102.86</v>
      </c>
      <c r="J261" s="2">
        <v>34797</v>
      </c>
      <c r="K261" s="3">
        <v>30621.360000000001</v>
      </c>
      <c r="L261" s="3">
        <v>4175.6400000000003</v>
      </c>
      <c r="M261" s="3">
        <v>0</v>
      </c>
      <c r="N261" s="4" t="s">
        <v>82</v>
      </c>
      <c r="O261" s="3" t="str">
        <f t="shared" si="13"/>
        <v>Offline - Box Office</v>
      </c>
      <c r="P261" s="11">
        <v>8773000</v>
      </c>
      <c r="Q261" s="3">
        <v>5483400000</v>
      </c>
      <c r="R261" s="3">
        <v>3606600000</v>
      </c>
      <c r="S261" s="11">
        <v>13100000</v>
      </c>
    </row>
    <row r="262" spans="1:19" x14ac:dyDescent="0.35">
      <c r="A262" s="1" t="s">
        <v>35</v>
      </c>
      <c r="B262" s="1" t="str">
        <f t="shared" si="12"/>
        <v>ICICI Bank</v>
      </c>
      <c r="C262">
        <v>207</v>
      </c>
      <c r="D262">
        <v>0</v>
      </c>
      <c r="E262">
        <v>565</v>
      </c>
      <c r="F262" s="2">
        <v>194622.2</v>
      </c>
      <c r="G262" s="2">
        <v>161836.01999999999</v>
      </c>
      <c r="H262" s="2">
        <v>10080</v>
      </c>
      <c r="I262" s="2">
        <v>182793.2</v>
      </c>
      <c r="J262" s="2">
        <v>11235</v>
      </c>
      <c r="K262" s="3">
        <v>9549.75</v>
      </c>
      <c r="L262" s="3">
        <v>1685.25</v>
      </c>
      <c r="M262" s="3">
        <v>22154.02</v>
      </c>
      <c r="N262" s="4" t="s">
        <v>82</v>
      </c>
      <c r="O262" s="3" t="str">
        <f t="shared" si="13"/>
        <v>Online</v>
      </c>
      <c r="P262" s="11">
        <v>8773000</v>
      </c>
      <c r="Q262" s="3">
        <v>5483400000</v>
      </c>
      <c r="R262" s="3">
        <v>3606600000</v>
      </c>
      <c r="S262" s="11">
        <v>13100000</v>
      </c>
    </row>
    <row r="263" spans="1:19" x14ac:dyDescent="0.35">
      <c r="A263" s="1" t="s">
        <v>46</v>
      </c>
      <c r="B263" s="1" t="str">
        <f t="shared" si="12"/>
        <v>IDBI Bank</v>
      </c>
      <c r="C263">
        <v>79</v>
      </c>
      <c r="D263">
        <v>0</v>
      </c>
      <c r="E263">
        <v>226</v>
      </c>
      <c r="F263" s="2">
        <v>70512.460000000006</v>
      </c>
      <c r="G263" s="2">
        <v>70512.460000000006</v>
      </c>
      <c r="H263" s="2">
        <v>0</v>
      </c>
      <c r="I263" s="2">
        <v>65131.46</v>
      </c>
      <c r="J263" s="2">
        <v>5381</v>
      </c>
      <c r="K263" s="3">
        <v>5381</v>
      </c>
      <c r="L263" s="3">
        <v>0</v>
      </c>
      <c r="M263" s="3">
        <v>0</v>
      </c>
      <c r="N263" s="4" t="s">
        <v>82</v>
      </c>
      <c r="O263" s="3" t="str">
        <f t="shared" si="13"/>
        <v>Offline - Box Office</v>
      </c>
      <c r="P263" s="11">
        <v>8773000</v>
      </c>
      <c r="Q263" s="3">
        <v>5483400000</v>
      </c>
      <c r="R263" s="3">
        <v>3606600000</v>
      </c>
      <c r="S263" s="11">
        <v>13100000</v>
      </c>
    </row>
    <row r="264" spans="1:19" x14ac:dyDescent="0.35">
      <c r="A264" s="1" t="s">
        <v>36</v>
      </c>
      <c r="B264" s="1" t="str">
        <f t="shared" si="12"/>
        <v>IDBI Bank</v>
      </c>
      <c r="C264">
        <v>52</v>
      </c>
      <c r="D264">
        <v>0</v>
      </c>
      <c r="E264">
        <v>117</v>
      </c>
      <c r="F264" s="2">
        <v>35313.019999999997</v>
      </c>
      <c r="G264" s="2">
        <v>29494.48</v>
      </c>
      <c r="H264" s="2">
        <v>1410</v>
      </c>
      <c r="I264" s="2">
        <v>31717.02</v>
      </c>
      <c r="J264" s="2">
        <v>3500</v>
      </c>
      <c r="K264" s="3">
        <v>3500</v>
      </c>
      <c r="L264" s="3">
        <v>0</v>
      </c>
      <c r="M264" s="3">
        <v>4312.54</v>
      </c>
      <c r="N264" s="4" t="s">
        <v>82</v>
      </c>
      <c r="O264" s="3" t="str">
        <f t="shared" si="13"/>
        <v>Online</v>
      </c>
      <c r="P264" s="11">
        <v>8773000</v>
      </c>
      <c r="Q264" s="3">
        <v>5483400000</v>
      </c>
      <c r="R264" s="3">
        <v>3606600000</v>
      </c>
      <c r="S264" s="11">
        <v>13100000</v>
      </c>
    </row>
    <row r="265" spans="1:19" x14ac:dyDescent="0.35">
      <c r="A265" s="1" t="s">
        <v>47</v>
      </c>
      <c r="B265" s="1" t="str">
        <f t="shared" si="12"/>
        <v>IDBI Bank</v>
      </c>
      <c r="C265">
        <v>317</v>
      </c>
      <c r="D265">
        <v>0</v>
      </c>
      <c r="E265">
        <v>808</v>
      </c>
      <c r="F265" s="2">
        <v>205170.07</v>
      </c>
      <c r="G265" s="2">
        <v>0</v>
      </c>
      <c r="H265" s="2">
        <v>205170.07</v>
      </c>
      <c r="I265" s="2">
        <v>184054.07</v>
      </c>
      <c r="J265" s="2">
        <v>21116</v>
      </c>
      <c r="K265" s="3">
        <v>14781.2</v>
      </c>
      <c r="L265" s="3">
        <v>6334.8</v>
      </c>
      <c r="M265" s="3">
        <v>0</v>
      </c>
      <c r="N265" s="4" t="s">
        <v>82</v>
      </c>
      <c r="O265" s="3" t="str">
        <f t="shared" si="13"/>
        <v>Offline - F&amp;B</v>
      </c>
      <c r="P265" s="11">
        <v>8773000</v>
      </c>
      <c r="Q265" s="3">
        <v>5483400000</v>
      </c>
      <c r="R265" s="3">
        <v>3606600000</v>
      </c>
      <c r="S265" s="11">
        <v>13100000</v>
      </c>
    </row>
    <row r="266" spans="1:19" x14ac:dyDescent="0.35">
      <c r="A266" s="1" t="s">
        <v>48</v>
      </c>
      <c r="B266" s="1" t="str">
        <f t="shared" si="12"/>
        <v>IDBI Bank</v>
      </c>
      <c r="C266">
        <v>63</v>
      </c>
      <c r="D266">
        <v>0</v>
      </c>
      <c r="E266">
        <v>166</v>
      </c>
      <c r="F266" s="2">
        <v>43506.66</v>
      </c>
      <c r="G266" s="2">
        <v>43584.46</v>
      </c>
      <c r="H266" s="2">
        <v>0</v>
      </c>
      <c r="I266" s="2">
        <v>35896.660000000003</v>
      </c>
      <c r="J266" s="2">
        <v>7610</v>
      </c>
      <c r="K266" s="3">
        <v>7610</v>
      </c>
      <c r="L266" s="3">
        <v>0</v>
      </c>
      <c r="M266" s="3">
        <v>0</v>
      </c>
      <c r="N266" s="4" t="s">
        <v>82</v>
      </c>
      <c r="O266" s="3" t="str">
        <f t="shared" si="13"/>
        <v>Offline - Box Office</v>
      </c>
      <c r="P266" s="11">
        <v>8773000</v>
      </c>
      <c r="Q266" s="3">
        <v>5483400000</v>
      </c>
      <c r="R266" s="3">
        <v>3606600000</v>
      </c>
      <c r="S266" s="11">
        <v>13100000</v>
      </c>
    </row>
    <row r="267" spans="1:19" x14ac:dyDescent="0.35">
      <c r="A267" s="1" t="s">
        <v>37</v>
      </c>
      <c r="B267" s="1" t="str">
        <f t="shared" si="12"/>
        <v>IDBI Bank</v>
      </c>
      <c r="C267">
        <v>46</v>
      </c>
      <c r="D267">
        <v>0</v>
      </c>
      <c r="E267">
        <v>128</v>
      </c>
      <c r="F267" s="2">
        <v>39460.6</v>
      </c>
      <c r="G267" s="2">
        <v>32653.16</v>
      </c>
      <c r="H267" s="2">
        <v>2000</v>
      </c>
      <c r="I267" s="2">
        <v>33399.599999999999</v>
      </c>
      <c r="J267" s="2">
        <v>5983</v>
      </c>
      <c r="K267" s="3">
        <v>5983</v>
      </c>
      <c r="L267" s="3">
        <v>0</v>
      </c>
      <c r="M267" s="3">
        <v>4729.4399999999996</v>
      </c>
      <c r="N267" s="4" t="s">
        <v>82</v>
      </c>
      <c r="O267" s="3" t="str">
        <f t="shared" si="13"/>
        <v>Online</v>
      </c>
      <c r="P267" s="11">
        <v>8773000</v>
      </c>
      <c r="Q267" s="3">
        <v>5483400000</v>
      </c>
      <c r="R267" s="3">
        <v>3606600000</v>
      </c>
      <c r="S267" s="11">
        <v>13100000</v>
      </c>
    </row>
    <row r="268" spans="1:19" x14ac:dyDescent="0.35">
      <c r="A268" s="1" t="s">
        <v>49</v>
      </c>
      <c r="B268" s="1" t="str">
        <f t="shared" ref="B268:B299" si="14">IF(ISNUMBER(SEARCH("AXIS",A268)),"Axis Bank",
IF(ISNUMBER(SEARCH("HDFC",A268)),"HDFC Bank",
IF(ISNUMBER(SEARCH("ICICI",A268)),"ICICI Bank",
IF(ISNUMBER(SEARCH("AU",A268)),"AU Bank",
IF(ISNUMBER(SEARCH("KOTAK",A268)),"Kotak Mahindra Bank",
IF(ISNUMBER(SEARCH("SBI",A268)),"State Bank of India",
IF(ISNUMBER(SEARCH("HSBC",A268)),"HSBC",
IF(ISNUMBER(SEARCH("DBS",A268)),"DBS Bank",
IF(ISNUMBER(SEARCH("SCAPIA",A268)),"Scapia",
IF(ISNUMBER(SEARCH("STANDARD CHARTERED",A268)),"Standard Chartered Bank",
IF(ISNUMBER(SEARCH("IDBI",A268)),"IDBI Bank",
IF(ISNUMBER(SEARCH("J&amp;K",A268)),"J&amp;K Bank",
IF(ISNUMBER(SEARCH("JAMMU",A268)),"J&amp;K Bank",
IF(ISNUMBER(SEARCH("FEDERAL",A268)),"Federal Bank",
IF(ISNUMBER(SEARCH("BOBCARD",A268)),"BOB Card",
IF(ISNUMBER(SEARCH("BANK OF BARODA",A268)),"BOB Card",
IF(ISNUMBER(SEARCH("AMEX",A268)),"American Express",
IF(ISNUMBER(SEARCH("PLATINUM",A268)),"American Express",
IF(ISNUMBER(SEARCH("CENTURION",A268)),"American Express",
IF(ISNUMBER(SEARCH("VISA",A268)),"Visa",
IF(ISNUMBER(SEARCH("MASTERCARD",A268)),"Mastercard",
"")))))))))))))))))))))</f>
        <v>IDBI Bank</v>
      </c>
      <c r="C268">
        <v>137</v>
      </c>
      <c r="D268">
        <v>0</v>
      </c>
      <c r="E268">
        <v>377</v>
      </c>
      <c r="F268" s="2">
        <v>91887.01</v>
      </c>
      <c r="G268" s="2">
        <v>0</v>
      </c>
      <c r="H268" s="2">
        <v>91887.01</v>
      </c>
      <c r="I268" s="2">
        <v>75635.009999999995</v>
      </c>
      <c r="J268" s="2">
        <v>16252</v>
      </c>
      <c r="K268" s="3">
        <v>11376.4</v>
      </c>
      <c r="L268" s="3">
        <v>4875.6000000000004</v>
      </c>
      <c r="M268" s="3">
        <v>0</v>
      </c>
      <c r="N268" s="4" t="s">
        <v>82</v>
      </c>
      <c r="O268" s="3" t="str">
        <f t="shared" si="13"/>
        <v>Offline - F&amp;B</v>
      </c>
      <c r="P268" s="11">
        <v>8773000</v>
      </c>
      <c r="Q268" s="3">
        <v>5483400000</v>
      </c>
      <c r="R268" s="3">
        <v>3606600000</v>
      </c>
      <c r="S268" s="11">
        <v>13100000</v>
      </c>
    </row>
    <row r="269" spans="1:19" x14ac:dyDescent="0.35">
      <c r="A269" s="1" t="s">
        <v>87</v>
      </c>
      <c r="B269" s="1" t="str">
        <f t="shared" si="14"/>
        <v>J&amp;K Bank</v>
      </c>
      <c r="C269">
        <v>8</v>
      </c>
      <c r="D269">
        <v>0</v>
      </c>
      <c r="E269">
        <v>30</v>
      </c>
      <c r="F269" s="2">
        <v>9791.0400000000009</v>
      </c>
      <c r="G269" s="2">
        <v>8400</v>
      </c>
      <c r="H269" s="2">
        <v>0</v>
      </c>
      <c r="I269" s="2">
        <v>5991.04</v>
      </c>
      <c r="J269" s="2">
        <v>3740</v>
      </c>
      <c r="K269" s="3">
        <v>3740</v>
      </c>
      <c r="L269" s="3">
        <v>0</v>
      </c>
      <c r="M269" s="3">
        <v>1331.04</v>
      </c>
      <c r="N269" s="4" t="s">
        <v>82</v>
      </c>
      <c r="O269" s="3" t="str">
        <f t="shared" si="13"/>
        <v>Online</v>
      </c>
      <c r="P269" s="11">
        <v>8773000</v>
      </c>
      <c r="Q269" s="3">
        <v>5483400000</v>
      </c>
      <c r="R269" s="3">
        <v>3606600000</v>
      </c>
      <c r="S269" s="11">
        <v>13100000</v>
      </c>
    </row>
    <row r="270" spans="1:19" x14ac:dyDescent="0.35">
      <c r="A270" s="1" t="s">
        <v>75</v>
      </c>
      <c r="B270" s="1" t="str">
        <f t="shared" si="14"/>
        <v>J&amp;K Bank</v>
      </c>
      <c r="C270">
        <v>19</v>
      </c>
      <c r="D270">
        <v>0</v>
      </c>
      <c r="E270">
        <v>58</v>
      </c>
      <c r="F270" s="2">
        <v>27959.06</v>
      </c>
      <c r="G270" s="2">
        <v>24433</v>
      </c>
      <c r="H270" s="2">
        <v>0</v>
      </c>
      <c r="I270" s="2">
        <v>18795.060000000001</v>
      </c>
      <c r="J270" s="2">
        <v>9080</v>
      </c>
      <c r="K270" s="3">
        <v>8626</v>
      </c>
      <c r="L270" s="3">
        <v>454</v>
      </c>
      <c r="M270" s="3">
        <v>3442.06</v>
      </c>
      <c r="N270" s="4" t="s">
        <v>82</v>
      </c>
      <c r="O270" s="3" t="str">
        <f t="shared" si="13"/>
        <v>Online</v>
      </c>
      <c r="P270" s="11">
        <v>8773000</v>
      </c>
      <c r="Q270" s="3">
        <v>5483400000</v>
      </c>
      <c r="R270" s="3">
        <v>3606600000</v>
      </c>
      <c r="S270" s="11">
        <v>13100000</v>
      </c>
    </row>
    <row r="271" spans="1:19" x14ac:dyDescent="0.35">
      <c r="A271" s="1" t="s">
        <v>76</v>
      </c>
      <c r="B271" s="1" t="str">
        <f t="shared" si="14"/>
        <v>J&amp;K Bank</v>
      </c>
      <c r="C271">
        <v>6</v>
      </c>
      <c r="D271">
        <v>0</v>
      </c>
      <c r="E271">
        <v>21</v>
      </c>
      <c r="F271" s="2">
        <v>7562.8</v>
      </c>
      <c r="G271" s="2">
        <v>6520</v>
      </c>
      <c r="H271" s="2">
        <v>0</v>
      </c>
      <c r="I271" s="2">
        <v>4584.8</v>
      </c>
      <c r="J271" s="2">
        <v>2950</v>
      </c>
      <c r="K271" s="3">
        <v>2950</v>
      </c>
      <c r="L271" s="3">
        <v>0</v>
      </c>
      <c r="M271" s="3">
        <v>1014.8</v>
      </c>
      <c r="N271" s="4" t="s">
        <v>82</v>
      </c>
      <c r="O271" s="3" t="str">
        <f t="shared" si="13"/>
        <v>Online</v>
      </c>
      <c r="P271" s="11">
        <v>8773000</v>
      </c>
      <c r="Q271" s="3">
        <v>5483400000</v>
      </c>
      <c r="R271" s="3">
        <v>3606600000</v>
      </c>
      <c r="S271" s="11">
        <v>13100000</v>
      </c>
    </row>
    <row r="272" spans="1:19" x14ac:dyDescent="0.35">
      <c r="A272" s="1" t="s">
        <v>88</v>
      </c>
      <c r="B272" s="1" t="str">
        <f t="shared" si="14"/>
        <v>J&amp;K Bank</v>
      </c>
      <c r="C272">
        <v>1</v>
      </c>
      <c r="D272">
        <v>0</v>
      </c>
      <c r="E272">
        <v>2</v>
      </c>
      <c r="F272" s="2">
        <v>1000</v>
      </c>
      <c r="G272" s="2">
        <v>1000</v>
      </c>
      <c r="H272" s="2">
        <v>0</v>
      </c>
      <c r="I272" s="2">
        <v>500</v>
      </c>
      <c r="J272" s="2">
        <v>500</v>
      </c>
      <c r="K272" s="3">
        <v>475</v>
      </c>
      <c r="L272" s="3">
        <v>25</v>
      </c>
      <c r="M272" s="3">
        <v>0</v>
      </c>
      <c r="N272" s="4" t="s">
        <v>82</v>
      </c>
      <c r="O272" s="3" t="str">
        <f t="shared" si="13"/>
        <v>Offline - Box Office</v>
      </c>
      <c r="P272" s="11">
        <v>8773000</v>
      </c>
      <c r="Q272" s="3">
        <v>5483400000</v>
      </c>
      <c r="R272" s="3">
        <v>3606600000</v>
      </c>
      <c r="S272" s="11">
        <v>13100000</v>
      </c>
    </row>
    <row r="273" spans="1:19" x14ac:dyDescent="0.35">
      <c r="A273" s="1" t="s">
        <v>77</v>
      </c>
      <c r="B273" s="1" t="str">
        <f t="shared" si="14"/>
        <v>J&amp;K Bank</v>
      </c>
      <c r="C273">
        <v>62</v>
      </c>
      <c r="D273">
        <v>0</v>
      </c>
      <c r="E273">
        <v>207</v>
      </c>
      <c r="F273" s="2">
        <v>77036.179999999993</v>
      </c>
      <c r="G273" s="2">
        <v>66931</v>
      </c>
      <c r="H273" s="2">
        <v>70</v>
      </c>
      <c r="I273" s="2">
        <v>48299.18</v>
      </c>
      <c r="J273" s="2">
        <v>28535</v>
      </c>
      <c r="K273" s="3">
        <v>27108.25</v>
      </c>
      <c r="L273" s="3">
        <v>1426.75</v>
      </c>
      <c r="M273" s="3">
        <v>9833.18</v>
      </c>
      <c r="N273" s="4" t="s">
        <v>82</v>
      </c>
      <c r="O273" s="3" t="str">
        <f t="shared" si="13"/>
        <v>Online</v>
      </c>
      <c r="P273" s="11">
        <v>8773000</v>
      </c>
      <c r="Q273" s="3">
        <v>5483400000</v>
      </c>
      <c r="R273" s="3">
        <v>3606600000</v>
      </c>
      <c r="S273" s="11">
        <v>13100000</v>
      </c>
    </row>
    <row r="274" spans="1:19" x14ac:dyDescent="0.35">
      <c r="A274" s="1" t="s">
        <v>89</v>
      </c>
      <c r="B274" s="1" t="str">
        <f t="shared" si="14"/>
        <v>Kotak Mahindra Bank</v>
      </c>
      <c r="C274">
        <v>513</v>
      </c>
      <c r="D274">
        <v>0</v>
      </c>
      <c r="E274">
        <v>1608</v>
      </c>
      <c r="F274" s="2">
        <v>205920.12</v>
      </c>
      <c r="G274" s="2">
        <v>172702</v>
      </c>
      <c r="H274" s="2">
        <v>0</v>
      </c>
      <c r="I274" s="2">
        <v>42518.12</v>
      </c>
      <c r="J274" s="2">
        <v>162348</v>
      </c>
      <c r="K274" s="3">
        <v>162348</v>
      </c>
      <c r="L274" s="3">
        <v>0</v>
      </c>
      <c r="M274" s="3">
        <v>33284.980000000003</v>
      </c>
      <c r="N274" s="4" t="s">
        <v>82</v>
      </c>
      <c r="O274" s="3" t="str">
        <f t="shared" si="13"/>
        <v>Online</v>
      </c>
      <c r="P274" s="11">
        <v>8773000</v>
      </c>
      <c r="Q274" s="3">
        <v>5483400000</v>
      </c>
      <c r="R274" s="3">
        <v>3606600000</v>
      </c>
      <c r="S274" s="11">
        <v>13100000</v>
      </c>
    </row>
    <row r="275" spans="1:19" x14ac:dyDescent="0.35">
      <c r="A275" s="1" t="s">
        <v>51</v>
      </c>
      <c r="B275" s="1" t="str">
        <f t="shared" si="14"/>
        <v>Kotak Mahindra Bank</v>
      </c>
      <c r="C275">
        <v>64</v>
      </c>
      <c r="D275">
        <v>0</v>
      </c>
      <c r="E275">
        <v>145</v>
      </c>
      <c r="F275" s="2">
        <v>124548.12</v>
      </c>
      <c r="G275" s="2">
        <v>112801</v>
      </c>
      <c r="H275" s="2">
        <v>780</v>
      </c>
      <c r="I275" s="2">
        <v>101877.12</v>
      </c>
      <c r="J275" s="2">
        <v>22539</v>
      </c>
      <c r="K275" s="3">
        <v>18031.2</v>
      </c>
      <c r="L275" s="3">
        <v>4507.8</v>
      </c>
      <c r="M275" s="3">
        <v>10899.18</v>
      </c>
      <c r="N275" s="4" t="s">
        <v>82</v>
      </c>
      <c r="O275" s="3" t="str">
        <f t="shared" si="13"/>
        <v>Online</v>
      </c>
      <c r="P275" s="11">
        <v>8773000</v>
      </c>
      <c r="Q275" s="3">
        <v>5483400000</v>
      </c>
      <c r="R275" s="3">
        <v>3606600000</v>
      </c>
      <c r="S275" s="11">
        <v>13100000</v>
      </c>
    </row>
    <row r="276" spans="1:19" x14ac:dyDescent="0.35">
      <c r="A276" s="1" t="s">
        <v>90</v>
      </c>
      <c r="B276" s="1" t="str">
        <f t="shared" si="14"/>
        <v>Kotak Mahindra Bank</v>
      </c>
      <c r="C276">
        <v>19</v>
      </c>
      <c r="D276">
        <v>19</v>
      </c>
      <c r="E276">
        <v>47</v>
      </c>
      <c r="F276" s="2">
        <v>42547.5</v>
      </c>
      <c r="G276" s="2">
        <v>38876</v>
      </c>
      <c r="H276" s="2">
        <v>0</v>
      </c>
      <c r="I276" s="2">
        <v>27229.5</v>
      </c>
      <c r="J276" s="2">
        <v>15258</v>
      </c>
      <c r="K276" s="3">
        <v>15258</v>
      </c>
      <c r="L276" s="3">
        <v>0</v>
      </c>
      <c r="M276" s="3">
        <v>3611.5</v>
      </c>
      <c r="N276" s="4" t="s">
        <v>82</v>
      </c>
      <c r="O276" s="3" t="str">
        <f t="shared" si="13"/>
        <v>Online</v>
      </c>
      <c r="P276" s="11">
        <v>8773000</v>
      </c>
      <c r="Q276" s="3">
        <v>5483400000</v>
      </c>
      <c r="R276" s="3">
        <v>3606600000</v>
      </c>
      <c r="S276" s="11">
        <v>13100000</v>
      </c>
    </row>
    <row r="277" spans="1:19" x14ac:dyDescent="0.35">
      <c r="A277" s="1" t="s">
        <v>52</v>
      </c>
      <c r="B277" s="1" t="str">
        <f t="shared" si="14"/>
        <v>Kotak Mahindra Bank</v>
      </c>
      <c r="C277">
        <v>3</v>
      </c>
      <c r="D277">
        <v>3</v>
      </c>
      <c r="E277">
        <v>10</v>
      </c>
      <c r="F277" s="2">
        <v>20257</v>
      </c>
      <c r="G277" s="2">
        <v>19480</v>
      </c>
      <c r="H277" s="2">
        <v>0</v>
      </c>
      <c r="I277" s="2">
        <v>17847</v>
      </c>
      <c r="J277" s="2">
        <v>2400</v>
      </c>
      <c r="K277" s="3">
        <v>2400</v>
      </c>
      <c r="L277" s="3">
        <v>0</v>
      </c>
      <c r="M277" s="3">
        <v>767</v>
      </c>
      <c r="N277" s="4" t="s">
        <v>82</v>
      </c>
      <c r="O277" s="3" t="str">
        <f t="shared" si="13"/>
        <v>Online</v>
      </c>
      <c r="P277" s="11">
        <v>8773000</v>
      </c>
      <c r="Q277" s="3">
        <v>5483400000</v>
      </c>
      <c r="R277" s="3">
        <v>3606600000</v>
      </c>
      <c r="S277" s="11">
        <v>13100000</v>
      </c>
    </row>
    <row r="278" spans="1:19" x14ac:dyDescent="0.35">
      <c r="A278" s="1" t="s">
        <v>38</v>
      </c>
      <c r="B278" s="1" t="str">
        <f t="shared" si="14"/>
        <v>Kotak Mahindra Bank</v>
      </c>
      <c r="C278">
        <v>17212</v>
      </c>
      <c r="D278">
        <v>0</v>
      </c>
      <c r="E278">
        <v>41695</v>
      </c>
      <c r="F278" s="2">
        <v>10179926.6</v>
      </c>
      <c r="G278" s="2">
        <v>411098.02</v>
      </c>
      <c r="H278" s="2">
        <v>9763787.5600000005</v>
      </c>
      <c r="I278" s="2">
        <v>8151254.5999999996</v>
      </c>
      <c r="J278" s="2">
        <v>2028516</v>
      </c>
      <c r="K278" s="3">
        <v>0</v>
      </c>
      <c r="L278" s="3">
        <v>2028516</v>
      </c>
      <c r="M278" s="3">
        <v>4916.82</v>
      </c>
      <c r="N278" s="4" t="s">
        <v>82</v>
      </c>
      <c r="O278" s="3" t="str">
        <f t="shared" si="13"/>
        <v>Other</v>
      </c>
      <c r="P278" s="11">
        <v>8773000</v>
      </c>
      <c r="Q278" s="3">
        <v>5483400000</v>
      </c>
      <c r="R278" s="3">
        <v>3606600000</v>
      </c>
      <c r="S278" s="11">
        <v>13100000</v>
      </c>
    </row>
    <row r="279" spans="1:19" x14ac:dyDescent="0.35">
      <c r="A279" s="1" t="s">
        <v>58</v>
      </c>
      <c r="B279" s="1" t="str">
        <f t="shared" si="14"/>
        <v>Kotak Mahindra Bank</v>
      </c>
      <c r="C279">
        <v>3436</v>
      </c>
      <c r="D279">
        <v>0</v>
      </c>
      <c r="E279">
        <v>8975</v>
      </c>
      <c r="F279" s="2">
        <v>2697599.33</v>
      </c>
      <c r="G279" s="2">
        <v>2557897.1</v>
      </c>
      <c r="H279" s="2">
        <v>2280</v>
      </c>
      <c r="I279" s="2">
        <v>2603772.7599999998</v>
      </c>
      <c r="J279" s="2">
        <v>91587</v>
      </c>
      <c r="K279" s="3">
        <v>0</v>
      </c>
      <c r="L279" s="3">
        <v>91587</v>
      </c>
      <c r="M279" s="3">
        <v>135624.62</v>
      </c>
      <c r="N279" s="4" t="s">
        <v>82</v>
      </c>
      <c r="O279" s="3" t="str">
        <f t="shared" si="13"/>
        <v>Other</v>
      </c>
      <c r="P279" s="11">
        <v>8773000</v>
      </c>
      <c r="Q279" s="3">
        <v>5483400000</v>
      </c>
      <c r="R279" s="3">
        <v>3606600000</v>
      </c>
      <c r="S279" s="11">
        <v>13100000</v>
      </c>
    </row>
    <row r="280" spans="1:19" x14ac:dyDescent="0.35">
      <c r="A280" s="1" t="s">
        <v>78</v>
      </c>
      <c r="B280" s="1" t="str">
        <f t="shared" si="14"/>
        <v>Mastercard</v>
      </c>
      <c r="C280">
        <v>18631</v>
      </c>
      <c r="D280">
        <v>0</v>
      </c>
      <c r="E280">
        <v>63389</v>
      </c>
      <c r="F280" s="2">
        <v>19330427.140000001</v>
      </c>
      <c r="G280" s="2">
        <v>4637381.8899999997</v>
      </c>
      <c r="H280" s="2">
        <v>14695876.83</v>
      </c>
      <c r="I280" s="2">
        <v>17487607.140000001</v>
      </c>
      <c r="J280" s="2">
        <v>1842820</v>
      </c>
      <c r="K280" s="3">
        <v>0</v>
      </c>
      <c r="L280" s="3">
        <v>1842820</v>
      </c>
      <c r="M280" s="3">
        <v>0</v>
      </c>
      <c r="N280" s="4" t="s">
        <v>82</v>
      </c>
      <c r="O280" s="3" t="str">
        <f t="shared" si="13"/>
        <v>Other</v>
      </c>
      <c r="P280" s="11">
        <v>8773000</v>
      </c>
      <c r="Q280" s="3">
        <v>5483400000</v>
      </c>
      <c r="R280" s="3">
        <v>3606600000</v>
      </c>
      <c r="S280" s="11">
        <v>13100000</v>
      </c>
    </row>
    <row r="281" spans="1:19" x14ac:dyDescent="0.35">
      <c r="A281" s="1" t="s">
        <v>79</v>
      </c>
      <c r="B281" s="1" t="str">
        <f t="shared" si="14"/>
        <v>Mastercard</v>
      </c>
      <c r="C281">
        <v>8746</v>
      </c>
      <c r="D281">
        <v>0</v>
      </c>
      <c r="E281">
        <v>26516</v>
      </c>
      <c r="F281" s="2">
        <v>7749440.0599999996</v>
      </c>
      <c r="G281" s="2">
        <v>2904636.88</v>
      </c>
      <c r="H281" s="2">
        <v>4846125.75</v>
      </c>
      <c r="I281" s="2">
        <v>6877940.0599999996</v>
      </c>
      <c r="J281" s="2">
        <v>871500</v>
      </c>
      <c r="K281" s="3">
        <v>0</v>
      </c>
      <c r="L281" s="3">
        <v>871500</v>
      </c>
      <c r="M281" s="3">
        <v>0</v>
      </c>
      <c r="N281" s="4" t="s">
        <v>82</v>
      </c>
      <c r="O281" s="3" t="str">
        <f t="shared" si="13"/>
        <v>Other</v>
      </c>
      <c r="P281" s="11">
        <v>8773000</v>
      </c>
      <c r="Q281" s="3">
        <v>5483400000</v>
      </c>
      <c r="R281" s="3">
        <v>3606600000</v>
      </c>
      <c r="S281" s="11">
        <v>13100000</v>
      </c>
    </row>
    <row r="282" spans="1:19" x14ac:dyDescent="0.35">
      <c r="A282" s="1" t="s">
        <v>80</v>
      </c>
      <c r="B282" s="1" t="str">
        <f t="shared" si="14"/>
        <v>State Bank of India</v>
      </c>
      <c r="C282">
        <v>1184</v>
      </c>
      <c r="D282">
        <v>0</v>
      </c>
      <c r="E282">
        <v>3907</v>
      </c>
      <c r="F282" s="2">
        <v>1137306.7</v>
      </c>
      <c r="G282" s="2">
        <v>1137223.82</v>
      </c>
      <c r="H282" s="2">
        <v>150</v>
      </c>
      <c r="I282" s="2">
        <v>1044193.7</v>
      </c>
      <c r="J282" s="2">
        <v>93113</v>
      </c>
      <c r="K282" s="3">
        <v>46556.5</v>
      </c>
      <c r="L282" s="3">
        <v>46556.5</v>
      </c>
      <c r="M282" s="3">
        <v>0</v>
      </c>
      <c r="N282" s="4" t="s">
        <v>82</v>
      </c>
      <c r="O282" s="3" t="str">
        <f t="shared" si="13"/>
        <v>Offline - Box Office</v>
      </c>
      <c r="P282" s="11">
        <v>8773000</v>
      </c>
      <c r="Q282" s="3">
        <v>5483400000</v>
      </c>
      <c r="R282" s="3">
        <v>3606600000</v>
      </c>
      <c r="S282" s="11">
        <v>13100000</v>
      </c>
    </row>
    <row r="283" spans="1:19" x14ac:dyDescent="0.35">
      <c r="A283" s="1" t="s">
        <v>65</v>
      </c>
      <c r="B283" s="1" t="str">
        <f t="shared" si="14"/>
        <v>State Bank of India</v>
      </c>
      <c r="C283">
        <v>1285</v>
      </c>
      <c r="D283">
        <v>0</v>
      </c>
      <c r="E283">
        <v>3947</v>
      </c>
      <c r="F283" s="2">
        <v>1330708.6000000001</v>
      </c>
      <c r="G283" s="2">
        <v>1125456.1299999999</v>
      </c>
      <c r="H283" s="2">
        <v>45170</v>
      </c>
      <c r="I283" s="2">
        <v>1226567.6000000001</v>
      </c>
      <c r="J283" s="2">
        <v>101279</v>
      </c>
      <c r="K283" s="3">
        <v>50639.5</v>
      </c>
      <c r="L283" s="3">
        <v>50639.5</v>
      </c>
      <c r="M283" s="3">
        <v>157676.9</v>
      </c>
      <c r="N283" s="4" t="s">
        <v>82</v>
      </c>
      <c r="O283" s="3" t="str">
        <f t="shared" si="13"/>
        <v>Online</v>
      </c>
      <c r="P283" s="11">
        <v>8773000</v>
      </c>
      <c r="Q283" s="3">
        <v>5483400000</v>
      </c>
      <c r="R283" s="3">
        <v>3606600000</v>
      </c>
      <c r="S283" s="11">
        <v>13100000</v>
      </c>
    </row>
    <row r="284" spans="1:19" x14ac:dyDescent="0.35">
      <c r="A284" s="1" t="s">
        <v>66</v>
      </c>
      <c r="B284" s="1" t="str">
        <f t="shared" si="14"/>
        <v>State Bank of India</v>
      </c>
      <c r="C284">
        <v>6535</v>
      </c>
      <c r="D284">
        <v>0</v>
      </c>
      <c r="E284">
        <v>23325</v>
      </c>
      <c r="F284" s="2">
        <v>6003209.0999999996</v>
      </c>
      <c r="G284" s="2">
        <v>0</v>
      </c>
      <c r="H284" s="2">
        <v>6003209.0999999996</v>
      </c>
      <c r="I284" s="2">
        <v>5489107.0999999996</v>
      </c>
      <c r="J284" s="2">
        <v>514102</v>
      </c>
      <c r="K284" s="3">
        <v>257051</v>
      </c>
      <c r="L284" s="3">
        <v>257051</v>
      </c>
      <c r="M284" s="3">
        <v>0</v>
      </c>
      <c r="N284" s="4" t="s">
        <v>82</v>
      </c>
      <c r="O284" s="3" t="str">
        <f t="shared" si="13"/>
        <v>Offline - F&amp;B</v>
      </c>
      <c r="P284" s="11">
        <v>8773000</v>
      </c>
      <c r="Q284" s="3">
        <v>5483400000</v>
      </c>
      <c r="R284" s="3">
        <v>3606600000</v>
      </c>
      <c r="S284" s="11">
        <v>13100000</v>
      </c>
    </row>
    <row r="285" spans="1:19" x14ac:dyDescent="0.35">
      <c r="A285" s="1" t="s">
        <v>81</v>
      </c>
      <c r="B285" s="1" t="str">
        <f t="shared" si="14"/>
        <v>Scapia</v>
      </c>
      <c r="C285">
        <v>216</v>
      </c>
      <c r="D285">
        <v>216</v>
      </c>
      <c r="E285">
        <v>536</v>
      </c>
      <c r="F285" s="2">
        <v>168517.08</v>
      </c>
      <c r="G285" s="2">
        <v>144448.6</v>
      </c>
      <c r="H285" s="2">
        <v>2920</v>
      </c>
      <c r="I285" s="2">
        <v>146618.82999999999</v>
      </c>
      <c r="J285" s="2">
        <v>21486.25</v>
      </c>
      <c r="K285" s="3">
        <v>21486.25</v>
      </c>
      <c r="L285" s="3">
        <v>0</v>
      </c>
      <c r="M285" s="3">
        <v>20887.36</v>
      </c>
      <c r="N285" s="4" t="s">
        <v>82</v>
      </c>
      <c r="O285" s="3" t="str">
        <f t="shared" si="13"/>
        <v>Online</v>
      </c>
      <c r="P285" s="11">
        <v>8773000</v>
      </c>
      <c r="Q285" s="3">
        <v>5483400000</v>
      </c>
      <c r="R285" s="3">
        <v>3606600000</v>
      </c>
      <c r="S285" s="11">
        <v>13100000</v>
      </c>
    </row>
    <row r="286" spans="1:19" x14ac:dyDescent="0.35">
      <c r="A286" s="1" t="s">
        <v>40</v>
      </c>
      <c r="B286" s="1" t="str">
        <f t="shared" si="14"/>
        <v>Standard Chartered Bank</v>
      </c>
      <c r="C286">
        <v>31</v>
      </c>
      <c r="D286">
        <v>31</v>
      </c>
      <c r="E286">
        <v>73</v>
      </c>
      <c r="F286" s="2">
        <v>22827.06</v>
      </c>
      <c r="G286" s="2">
        <v>22655.18</v>
      </c>
      <c r="H286" s="2">
        <v>239</v>
      </c>
      <c r="I286" s="2">
        <v>16793.28</v>
      </c>
      <c r="J286" s="2">
        <v>6033.78</v>
      </c>
      <c r="K286" s="3">
        <v>6033.78</v>
      </c>
      <c r="L286" s="3">
        <v>0</v>
      </c>
      <c r="M286" s="3">
        <v>0</v>
      </c>
      <c r="N286" s="4" t="s">
        <v>82</v>
      </c>
      <c r="O286" s="3" t="str">
        <f t="shared" si="13"/>
        <v>Offline - Box Office</v>
      </c>
      <c r="P286" s="11">
        <v>8773000</v>
      </c>
      <c r="Q286" s="3">
        <v>5483400000</v>
      </c>
      <c r="R286" s="3">
        <v>3606600000</v>
      </c>
      <c r="S286" s="11">
        <v>13100000</v>
      </c>
    </row>
    <row r="287" spans="1:19" x14ac:dyDescent="0.35">
      <c r="A287" s="1" t="s">
        <v>41</v>
      </c>
      <c r="B287" s="1" t="str">
        <f t="shared" si="14"/>
        <v>Standard Chartered Bank</v>
      </c>
      <c r="C287">
        <v>133</v>
      </c>
      <c r="D287">
        <v>133</v>
      </c>
      <c r="E287">
        <v>302</v>
      </c>
      <c r="F287" s="2">
        <v>97733.54</v>
      </c>
      <c r="G287" s="2">
        <v>84892.62</v>
      </c>
      <c r="H287" s="2">
        <v>980</v>
      </c>
      <c r="I287" s="2">
        <v>71755.850000000006</v>
      </c>
      <c r="J287" s="2">
        <v>25731.69</v>
      </c>
      <c r="K287" s="3">
        <v>25731.69</v>
      </c>
      <c r="L287" s="3">
        <v>0</v>
      </c>
      <c r="M287" s="3">
        <v>11707.96</v>
      </c>
      <c r="N287" s="4" t="s">
        <v>82</v>
      </c>
      <c r="O287" s="3" t="str">
        <f t="shared" si="13"/>
        <v>Online</v>
      </c>
      <c r="P287" s="11">
        <v>8773000</v>
      </c>
      <c r="Q287" s="3">
        <v>5483400000</v>
      </c>
      <c r="R287" s="3">
        <v>3606600000</v>
      </c>
      <c r="S287" s="11">
        <v>13100000</v>
      </c>
    </row>
    <row r="288" spans="1:19" x14ac:dyDescent="0.35">
      <c r="A288" s="1" t="s">
        <v>91</v>
      </c>
      <c r="B288" s="1" t="str">
        <f t="shared" si="14"/>
        <v>American Express</v>
      </c>
      <c r="C288">
        <v>269</v>
      </c>
      <c r="D288">
        <v>269</v>
      </c>
      <c r="E288">
        <v>844</v>
      </c>
      <c r="F288" s="2">
        <v>431047.78</v>
      </c>
      <c r="G288" s="2">
        <v>430971.84</v>
      </c>
      <c r="H288" s="2">
        <v>140</v>
      </c>
      <c r="I288" s="2">
        <v>324270.23</v>
      </c>
      <c r="J288" s="2">
        <v>106777.55</v>
      </c>
      <c r="K288" s="3">
        <v>53388.78</v>
      </c>
      <c r="L288" s="3">
        <v>53388.78</v>
      </c>
      <c r="M288" s="3">
        <v>0</v>
      </c>
      <c r="N288" s="4" t="s">
        <v>92</v>
      </c>
      <c r="O288" s="3" t="str">
        <f t="shared" si="13"/>
        <v>Offline - Box Office</v>
      </c>
      <c r="P288" s="11">
        <v>10000000</v>
      </c>
      <c r="Q288" s="3">
        <v>6866900000</v>
      </c>
      <c r="R288" s="3">
        <v>4731700000</v>
      </c>
      <c r="S288" s="11">
        <v>15200000</v>
      </c>
    </row>
    <row r="289" spans="1:19" x14ac:dyDescent="0.35">
      <c r="A289" s="1" t="s">
        <v>93</v>
      </c>
      <c r="B289" s="1" t="str">
        <f t="shared" si="14"/>
        <v>American Express</v>
      </c>
      <c r="C289">
        <v>1073</v>
      </c>
      <c r="D289">
        <v>1073</v>
      </c>
      <c r="E289">
        <v>2899</v>
      </c>
      <c r="F289" s="2">
        <v>1796726.07</v>
      </c>
      <c r="G289" s="2">
        <v>1584617.37</v>
      </c>
      <c r="H289" s="2">
        <v>22465</v>
      </c>
      <c r="I289" s="2">
        <v>1343462.87</v>
      </c>
      <c r="J289" s="2">
        <v>449773.2</v>
      </c>
      <c r="K289" s="3">
        <v>224886.63</v>
      </c>
      <c r="L289" s="3">
        <v>224886.63</v>
      </c>
      <c r="M289" s="3">
        <v>186573.92</v>
      </c>
      <c r="N289" s="4" t="s">
        <v>92</v>
      </c>
      <c r="O289" s="3" t="str">
        <f t="shared" si="13"/>
        <v>Online</v>
      </c>
      <c r="P289" s="11">
        <v>10000000</v>
      </c>
      <c r="Q289" s="3">
        <v>6866900000</v>
      </c>
      <c r="R289" s="3">
        <v>4731700000</v>
      </c>
      <c r="S289" s="11">
        <v>15200000</v>
      </c>
    </row>
    <row r="290" spans="1:19" x14ac:dyDescent="0.35">
      <c r="A290" s="1" t="s">
        <v>19</v>
      </c>
      <c r="B290" s="1" t="str">
        <f t="shared" si="14"/>
        <v>AU Bank</v>
      </c>
      <c r="C290">
        <v>611</v>
      </c>
      <c r="D290">
        <v>0</v>
      </c>
      <c r="E290">
        <v>1757</v>
      </c>
      <c r="F290" s="2">
        <v>721229.14</v>
      </c>
      <c r="G290" s="2">
        <v>623127.12</v>
      </c>
      <c r="H290" s="2">
        <v>11130</v>
      </c>
      <c r="I290" s="2">
        <v>658389.14</v>
      </c>
      <c r="J290" s="2">
        <v>61100</v>
      </c>
      <c r="K290" s="3">
        <v>61100</v>
      </c>
      <c r="L290" s="3">
        <v>0</v>
      </c>
      <c r="M290" s="3">
        <v>85289.22</v>
      </c>
      <c r="N290" s="4" t="s">
        <v>92</v>
      </c>
      <c r="O290" s="3" t="str">
        <f t="shared" si="13"/>
        <v>Online</v>
      </c>
      <c r="P290" s="11">
        <v>10000000</v>
      </c>
      <c r="Q290" s="3">
        <v>6866900000</v>
      </c>
      <c r="R290" s="3">
        <v>4731700000</v>
      </c>
      <c r="S290" s="11">
        <v>15200000</v>
      </c>
    </row>
    <row r="291" spans="1:19" x14ac:dyDescent="0.35">
      <c r="A291" s="1" t="s">
        <v>21</v>
      </c>
      <c r="B291" s="1" t="str">
        <f t="shared" si="14"/>
        <v>AU Bank</v>
      </c>
      <c r="C291">
        <v>132</v>
      </c>
      <c r="D291">
        <v>0</v>
      </c>
      <c r="E291">
        <v>163</v>
      </c>
      <c r="F291" s="2">
        <v>75080.600000000006</v>
      </c>
      <c r="G291" s="2">
        <v>71593.77</v>
      </c>
      <c r="H291" s="2">
        <v>3250</v>
      </c>
      <c r="I291" s="2">
        <v>61878.6</v>
      </c>
      <c r="J291" s="2">
        <v>13200</v>
      </c>
      <c r="K291" s="3">
        <v>9240</v>
      </c>
      <c r="L291" s="3">
        <v>3960</v>
      </c>
      <c r="M291" s="3">
        <v>247.8</v>
      </c>
      <c r="N291" s="4" t="s">
        <v>92</v>
      </c>
      <c r="O291" s="3" t="str">
        <f t="shared" si="13"/>
        <v>Online</v>
      </c>
      <c r="P291" s="11">
        <v>10000000</v>
      </c>
      <c r="Q291" s="3">
        <v>6866900000</v>
      </c>
      <c r="R291" s="3">
        <v>4731700000</v>
      </c>
      <c r="S291" s="11">
        <v>15200000</v>
      </c>
    </row>
    <row r="292" spans="1:19" x14ac:dyDescent="0.35">
      <c r="A292" s="1" t="s">
        <v>22</v>
      </c>
      <c r="B292" s="1" t="str">
        <f t="shared" si="14"/>
        <v>AU Bank</v>
      </c>
      <c r="C292">
        <v>1246</v>
      </c>
      <c r="D292">
        <v>0</v>
      </c>
      <c r="E292">
        <v>3001</v>
      </c>
      <c r="F292" s="2">
        <v>941825.09</v>
      </c>
      <c r="G292" s="2">
        <v>0</v>
      </c>
      <c r="H292" s="2">
        <v>941825.09</v>
      </c>
      <c r="I292" s="2">
        <v>817225.09</v>
      </c>
      <c r="J292" s="2">
        <v>124600</v>
      </c>
      <c r="K292" s="3">
        <v>87220</v>
      </c>
      <c r="L292" s="3">
        <v>37380</v>
      </c>
      <c r="M292" s="3">
        <v>0</v>
      </c>
      <c r="N292" s="4" t="s">
        <v>92</v>
      </c>
      <c r="O292" s="3" t="str">
        <f t="shared" si="13"/>
        <v>Offline - F&amp;B</v>
      </c>
      <c r="P292" s="11">
        <v>10000000</v>
      </c>
      <c r="Q292" s="3">
        <v>6866900000</v>
      </c>
      <c r="R292" s="3">
        <v>4731700000</v>
      </c>
      <c r="S292" s="11">
        <v>15200000</v>
      </c>
    </row>
    <row r="293" spans="1:19" x14ac:dyDescent="0.35">
      <c r="A293" s="1" t="s">
        <v>43</v>
      </c>
      <c r="B293" s="1" t="str">
        <f t="shared" si="14"/>
        <v>Axis Bank</v>
      </c>
      <c r="C293">
        <v>24</v>
      </c>
      <c r="D293">
        <v>24</v>
      </c>
      <c r="E293">
        <v>76</v>
      </c>
      <c r="F293" s="2">
        <v>27255.02</v>
      </c>
      <c r="G293" s="2">
        <v>27255.02</v>
      </c>
      <c r="H293" s="2">
        <v>0</v>
      </c>
      <c r="I293" s="2">
        <v>22475.24</v>
      </c>
      <c r="J293" s="2">
        <v>4779.78</v>
      </c>
      <c r="K293" s="3">
        <v>4206.21</v>
      </c>
      <c r="L293" s="3">
        <v>573.57000000000005</v>
      </c>
      <c r="M293" s="3">
        <v>0</v>
      </c>
      <c r="N293" s="4" t="s">
        <v>92</v>
      </c>
      <c r="O293" s="3" t="str">
        <f t="shared" si="13"/>
        <v>Offline - Box Office</v>
      </c>
      <c r="P293" s="11">
        <v>10000000</v>
      </c>
      <c r="Q293" s="3">
        <v>6866900000</v>
      </c>
      <c r="R293" s="3">
        <v>4731700000</v>
      </c>
      <c r="S293" s="11">
        <v>15200000</v>
      </c>
    </row>
    <row r="294" spans="1:19" x14ac:dyDescent="0.35">
      <c r="A294" s="1" t="s">
        <v>23</v>
      </c>
      <c r="B294" s="1" t="str">
        <f t="shared" si="14"/>
        <v>Axis Bank</v>
      </c>
      <c r="C294">
        <v>29</v>
      </c>
      <c r="D294">
        <v>29</v>
      </c>
      <c r="E294">
        <v>78</v>
      </c>
      <c r="F294" s="2">
        <v>32096.39</v>
      </c>
      <c r="G294" s="2">
        <v>28293.39</v>
      </c>
      <c r="H294" s="2">
        <v>0</v>
      </c>
      <c r="I294" s="2">
        <v>26279.61</v>
      </c>
      <c r="J294" s="2">
        <v>5730.78</v>
      </c>
      <c r="K294" s="3">
        <v>4871.16</v>
      </c>
      <c r="L294" s="3">
        <v>859.62</v>
      </c>
      <c r="M294" s="3">
        <v>3717</v>
      </c>
      <c r="N294" s="4" t="s">
        <v>92</v>
      </c>
      <c r="O294" s="3" t="str">
        <f t="shared" si="13"/>
        <v>Online</v>
      </c>
      <c r="P294" s="11">
        <v>10000000</v>
      </c>
      <c r="Q294" s="3">
        <v>6866900000</v>
      </c>
      <c r="R294" s="3">
        <v>4731700000</v>
      </c>
      <c r="S294" s="11">
        <v>15200000</v>
      </c>
    </row>
    <row r="295" spans="1:19" x14ac:dyDescent="0.35">
      <c r="A295" s="1" t="s">
        <v>44</v>
      </c>
      <c r="B295" s="1" t="str">
        <f t="shared" si="14"/>
        <v>Axis Bank</v>
      </c>
      <c r="C295">
        <v>365</v>
      </c>
      <c r="D295">
        <v>365</v>
      </c>
      <c r="E295">
        <v>954</v>
      </c>
      <c r="F295" s="2">
        <v>272875.51</v>
      </c>
      <c r="G295" s="2">
        <v>273023.99</v>
      </c>
      <c r="H295" s="2">
        <v>75</v>
      </c>
      <c r="I295" s="2">
        <v>202038.22</v>
      </c>
      <c r="J295" s="2">
        <v>70837.289999999994</v>
      </c>
      <c r="K295" s="3">
        <v>62336.91</v>
      </c>
      <c r="L295" s="3">
        <v>8500.3799999999992</v>
      </c>
      <c r="M295" s="3">
        <v>0</v>
      </c>
      <c r="N295" s="4" t="s">
        <v>92</v>
      </c>
      <c r="O295" s="3" t="str">
        <f t="shared" si="13"/>
        <v>Offline - Box Office</v>
      </c>
      <c r="P295" s="11">
        <v>10000000</v>
      </c>
      <c r="Q295" s="3">
        <v>6866900000</v>
      </c>
      <c r="R295" s="3">
        <v>4731700000</v>
      </c>
      <c r="S295" s="11">
        <v>15200000</v>
      </c>
    </row>
    <row r="296" spans="1:19" x14ac:dyDescent="0.35">
      <c r="A296" s="1" t="s">
        <v>24</v>
      </c>
      <c r="B296" s="1" t="str">
        <f t="shared" si="14"/>
        <v>Axis Bank</v>
      </c>
      <c r="C296">
        <v>995</v>
      </c>
      <c r="D296">
        <v>995</v>
      </c>
      <c r="E296">
        <v>2308</v>
      </c>
      <c r="F296" s="2">
        <v>756557.4</v>
      </c>
      <c r="G296" s="2">
        <v>660744.6</v>
      </c>
      <c r="H296" s="2">
        <v>3570</v>
      </c>
      <c r="I296" s="2">
        <v>560182.93000000005</v>
      </c>
      <c r="J296" s="2">
        <v>194336.47</v>
      </c>
      <c r="K296" s="3">
        <v>165185.68</v>
      </c>
      <c r="L296" s="3">
        <v>29150.79</v>
      </c>
      <c r="M296" s="3">
        <v>90465.64</v>
      </c>
      <c r="N296" s="4" t="s">
        <v>92</v>
      </c>
      <c r="O296" s="3" t="str">
        <f t="shared" si="13"/>
        <v>Online</v>
      </c>
      <c r="P296" s="11">
        <v>10000000</v>
      </c>
      <c r="Q296" s="3">
        <v>6866900000</v>
      </c>
      <c r="R296" s="3">
        <v>4731700000</v>
      </c>
      <c r="S296" s="11">
        <v>15200000</v>
      </c>
    </row>
    <row r="297" spans="1:19" x14ac:dyDescent="0.35">
      <c r="A297" s="1" t="s">
        <v>54</v>
      </c>
      <c r="B297" s="1" t="str">
        <f t="shared" si="14"/>
        <v>BOB Card</v>
      </c>
      <c r="C297">
        <v>19</v>
      </c>
      <c r="D297">
        <v>0</v>
      </c>
      <c r="E297">
        <v>33</v>
      </c>
      <c r="F297" s="2">
        <v>17844.759999999998</v>
      </c>
      <c r="G297" s="2">
        <v>15690</v>
      </c>
      <c r="H297" s="2">
        <v>1940</v>
      </c>
      <c r="I297" s="2">
        <v>16207.76</v>
      </c>
      <c r="J297" s="2">
        <v>1637</v>
      </c>
      <c r="K297" s="3">
        <v>1145.9000000000001</v>
      </c>
      <c r="L297" s="3">
        <v>491.1</v>
      </c>
      <c r="M297" s="3">
        <v>214.76</v>
      </c>
      <c r="N297" s="4" t="s">
        <v>92</v>
      </c>
      <c r="O297" s="3" t="str">
        <f t="shared" si="13"/>
        <v>Online</v>
      </c>
      <c r="P297" s="11">
        <v>10000000</v>
      </c>
      <c r="Q297" s="3">
        <v>6866900000</v>
      </c>
      <c r="R297" s="3">
        <v>4731700000</v>
      </c>
      <c r="S297" s="11">
        <v>15200000</v>
      </c>
    </row>
    <row r="298" spans="1:19" x14ac:dyDescent="0.35">
      <c r="A298" s="1" t="s">
        <v>55</v>
      </c>
      <c r="B298" s="1" t="str">
        <f t="shared" si="14"/>
        <v>BOB Card</v>
      </c>
      <c r="C298">
        <v>913</v>
      </c>
      <c r="D298">
        <v>0</v>
      </c>
      <c r="E298">
        <v>2893</v>
      </c>
      <c r="F298" s="2">
        <v>826119.67</v>
      </c>
      <c r="G298" s="2">
        <v>0</v>
      </c>
      <c r="H298" s="2">
        <v>826119.67</v>
      </c>
      <c r="I298" s="2">
        <v>744700.67</v>
      </c>
      <c r="J298" s="2">
        <v>81419</v>
      </c>
      <c r="K298" s="3">
        <v>56993.3</v>
      </c>
      <c r="L298" s="3">
        <v>24425.7</v>
      </c>
      <c r="M298" s="3">
        <v>0</v>
      </c>
      <c r="N298" s="4" t="s">
        <v>92</v>
      </c>
      <c r="O298" s="3" t="str">
        <f t="shared" si="13"/>
        <v>Offline - F&amp;B</v>
      </c>
      <c r="P298" s="11">
        <v>10000000</v>
      </c>
      <c r="Q298" s="3">
        <v>6866900000</v>
      </c>
      <c r="R298" s="3">
        <v>4731700000</v>
      </c>
      <c r="S298" s="11">
        <v>15200000</v>
      </c>
    </row>
    <row r="299" spans="1:19" x14ac:dyDescent="0.35">
      <c r="A299" s="1" t="s">
        <v>72</v>
      </c>
      <c r="B299" s="1" t="str">
        <f t="shared" si="14"/>
        <v>BOB Card</v>
      </c>
      <c r="C299">
        <v>236</v>
      </c>
      <c r="D299">
        <v>0</v>
      </c>
      <c r="E299">
        <v>830</v>
      </c>
      <c r="F299" s="2">
        <v>258503.53</v>
      </c>
      <c r="G299" s="2">
        <v>258903.96</v>
      </c>
      <c r="H299" s="2">
        <v>0</v>
      </c>
      <c r="I299" s="2">
        <v>225511.53</v>
      </c>
      <c r="J299" s="2">
        <v>32992</v>
      </c>
      <c r="K299" s="3">
        <v>29032.959999999999</v>
      </c>
      <c r="L299" s="3">
        <v>3959.04</v>
      </c>
      <c r="M299" s="3">
        <v>0</v>
      </c>
      <c r="N299" s="4" t="s">
        <v>92</v>
      </c>
      <c r="O299" s="3" t="str">
        <f t="shared" si="13"/>
        <v>Offline - Box Office</v>
      </c>
      <c r="P299" s="11">
        <v>10000000</v>
      </c>
      <c r="Q299" s="3">
        <v>6866900000</v>
      </c>
      <c r="R299" s="3">
        <v>4731700000</v>
      </c>
      <c r="S299" s="11">
        <v>15200000</v>
      </c>
    </row>
    <row r="300" spans="1:19" x14ac:dyDescent="0.35">
      <c r="A300" s="1" t="s">
        <v>56</v>
      </c>
      <c r="B300" s="1" t="str">
        <f t="shared" ref="B300:B331" si="15">IF(ISNUMBER(SEARCH("AXIS",A300)),"Axis Bank",
IF(ISNUMBER(SEARCH("HDFC",A300)),"HDFC Bank",
IF(ISNUMBER(SEARCH("ICICI",A300)),"ICICI Bank",
IF(ISNUMBER(SEARCH("AU",A300)),"AU Bank",
IF(ISNUMBER(SEARCH("KOTAK",A300)),"Kotak Mahindra Bank",
IF(ISNUMBER(SEARCH("SBI",A300)),"State Bank of India",
IF(ISNUMBER(SEARCH("HSBC",A300)),"HSBC",
IF(ISNUMBER(SEARCH("DBS",A300)),"DBS Bank",
IF(ISNUMBER(SEARCH("SCAPIA",A300)),"Scapia",
IF(ISNUMBER(SEARCH("STANDARD CHARTERED",A300)),"Standard Chartered Bank",
IF(ISNUMBER(SEARCH("IDBI",A300)),"IDBI Bank",
IF(ISNUMBER(SEARCH("J&amp;K",A300)),"J&amp;K Bank",
IF(ISNUMBER(SEARCH("JAMMU",A300)),"J&amp;K Bank",
IF(ISNUMBER(SEARCH("FEDERAL",A300)),"Federal Bank",
IF(ISNUMBER(SEARCH("BOBCARD",A300)),"BOB Card",
IF(ISNUMBER(SEARCH("BANK OF BARODA",A300)),"BOB Card",
IF(ISNUMBER(SEARCH("AMEX",A300)),"American Express",
IF(ISNUMBER(SEARCH("PLATINUM",A300)),"American Express",
IF(ISNUMBER(SEARCH("CENTURION",A300)),"American Express",
IF(ISNUMBER(SEARCH("VISA",A300)),"Visa",
IF(ISNUMBER(SEARCH("MASTERCARD",A300)),"Mastercard",
"")))))))))))))))))))))</f>
        <v>BOB Card</v>
      </c>
      <c r="C300">
        <v>849</v>
      </c>
      <c r="D300">
        <v>0</v>
      </c>
      <c r="E300">
        <v>2404</v>
      </c>
      <c r="F300" s="2">
        <v>885448.9</v>
      </c>
      <c r="G300" s="2">
        <v>761606.6</v>
      </c>
      <c r="H300" s="2">
        <v>15550</v>
      </c>
      <c r="I300" s="2">
        <v>765602.9</v>
      </c>
      <c r="J300" s="2">
        <v>117480</v>
      </c>
      <c r="K300" s="3">
        <v>103382.39999999999</v>
      </c>
      <c r="L300" s="3">
        <v>14097.6</v>
      </c>
      <c r="M300" s="3">
        <v>106350.34</v>
      </c>
      <c r="N300" s="4" t="s">
        <v>92</v>
      </c>
      <c r="O300" s="3" t="str">
        <f t="shared" si="13"/>
        <v>Online</v>
      </c>
      <c r="P300" s="11">
        <v>10000000</v>
      </c>
      <c r="Q300" s="3">
        <v>6866900000</v>
      </c>
      <c r="R300" s="3">
        <v>4731700000</v>
      </c>
      <c r="S300" s="11">
        <v>15200000</v>
      </c>
    </row>
    <row r="301" spans="1:19" x14ac:dyDescent="0.35">
      <c r="A301" s="1" t="s">
        <v>94</v>
      </c>
      <c r="B301" s="1" t="str">
        <f t="shared" si="15"/>
        <v>DBS Bank</v>
      </c>
      <c r="C301">
        <v>3</v>
      </c>
      <c r="D301">
        <v>0</v>
      </c>
      <c r="E301">
        <v>8</v>
      </c>
      <c r="F301" s="2">
        <v>3630</v>
      </c>
      <c r="G301" s="2">
        <v>3630</v>
      </c>
      <c r="H301" s="2">
        <v>0</v>
      </c>
      <c r="I301" s="2">
        <v>3180</v>
      </c>
      <c r="J301" s="2">
        <v>450</v>
      </c>
      <c r="K301" s="3">
        <v>450</v>
      </c>
      <c r="L301" s="3">
        <v>0</v>
      </c>
      <c r="M301" s="3">
        <v>0</v>
      </c>
      <c r="N301" s="4" t="s">
        <v>92</v>
      </c>
      <c r="O301" s="3" t="str">
        <f t="shared" si="13"/>
        <v>Online</v>
      </c>
      <c r="P301" s="11">
        <v>10000000</v>
      </c>
      <c r="Q301" s="3">
        <v>6866900000</v>
      </c>
      <c r="R301" s="3">
        <v>4731700000</v>
      </c>
      <c r="S301" s="11">
        <v>15200000</v>
      </c>
    </row>
    <row r="302" spans="1:19" x14ac:dyDescent="0.35">
      <c r="A302" s="1" t="s">
        <v>95</v>
      </c>
      <c r="B302" s="1" t="str">
        <f t="shared" si="15"/>
        <v>DBS Bank</v>
      </c>
      <c r="C302">
        <v>86</v>
      </c>
      <c r="D302">
        <v>0</v>
      </c>
      <c r="E302">
        <v>381</v>
      </c>
      <c r="F302" s="2">
        <v>106432.04</v>
      </c>
      <c r="G302" s="2">
        <v>0</v>
      </c>
      <c r="H302" s="2">
        <v>106432.04</v>
      </c>
      <c r="I302" s="2">
        <v>93532.04</v>
      </c>
      <c r="J302" s="2">
        <v>12900</v>
      </c>
      <c r="K302" s="3">
        <v>12900</v>
      </c>
      <c r="L302" s="3">
        <v>0</v>
      </c>
      <c r="M302" s="3">
        <v>0</v>
      </c>
      <c r="N302" s="4" t="s">
        <v>92</v>
      </c>
      <c r="O302" s="3" t="str">
        <f t="shared" si="13"/>
        <v>Offline - F&amp;B</v>
      </c>
      <c r="P302" s="11">
        <v>10000000</v>
      </c>
      <c r="Q302" s="3">
        <v>6866900000</v>
      </c>
      <c r="R302" s="3">
        <v>4731700000</v>
      </c>
      <c r="S302" s="11">
        <v>15200000</v>
      </c>
    </row>
    <row r="303" spans="1:19" x14ac:dyDescent="0.35">
      <c r="A303" s="1" t="s">
        <v>96</v>
      </c>
      <c r="B303" s="1" t="str">
        <f t="shared" si="15"/>
        <v>DBS Bank</v>
      </c>
      <c r="C303">
        <v>65</v>
      </c>
      <c r="D303">
        <v>65</v>
      </c>
      <c r="E303">
        <v>195</v>
      </c>
      <c r="F303" s="2">
        <v>60198.26</v>
      </c>
      <c r="G303" s="2">
        <v>60251.23</v>
      </c>
      <c r="H303" s="2">
        <v>0</v>
      </c>
      <c r="I303" s="2">
        <v>45446.67</v>
      </c>
      <c r="J303" s="2">
        <v>14751.59</v>
      </c>
      <c r="K303" s="3">
        <v>14751.59</v>
      </c>
      <c r="L303" s="3">
        <v>0</v>
      </c>
      <c r="M303" s="3">
        <v>0</v>
      </c>
      <c r="N303" s="4" t="s">
        <v>92</v>
      </c>
      <c r="O303" s="3" t="str">
        <f t="shared" si="13"/>
        <v>Offline - Box Office</v>
      </c>
      <c r="P303" s="11">
        <v>10000000</v>
      </c>
      <c r="Q303" s="3">
        <v>6866900000</v>
      </c>
      <c r="R303" s="3">
        <v>4731700000</v>
      </c>
      <c r="S303" s="11">
        <v>15200000</v>
      </c>
    </row>
    <row r="304" spans="1:19" x14ac:dyDescent="0.35">
      <c r="A304" s="1" t="s">
        <v>97</v>
      </c>
      <c r="B304" s="1" t="str">
        <f t="shared" si="15"/>
        <v>DBS Bank</v>
      </c>
      <c r="C304">
        <v>93</v>
      </c>
      <c r="D304">
        <v>93</v>
      </c>
      <c r="E304">
        <v>233</v>
      </c>
      <c r="F304" s="2">
        <v>79518.98</v>
      </c>
      <c r="G304" s="2">
        <v>67283.740000000005</v>
      </c>
      <c r="H304" s="2">
        <v>2600</v>
      </c>
      <c r="I304" s="2">
        <v>57655.53</v>
      </c>
      <c r="J304" s="2">
        <v>21689.45</v>
      </c>
      <c r="K304" s="3">
        <v>21689.45</v>
      </c>
      <c r="L304" s="3">
        <v>0</v>
      </c>
      <c r="M304" s="3">
        <v>9461.24</v>
      </c>
      <c r="N304" s="4" t="s">
        <v>92</v>
      </c>
      <c r="O304" s="3" t="str">
        <f t="shared" si="13"/>
        <v>Online</v>
      </c>
      <c r="P304" s="11">
        <v>10000000</v>
      </c>
      <c r="Q304" s="3">
        <v>6866900000</v>
      </c>
      <c r="R304" s="3">
        <v>4731700000</v>
      </c>
      <c r="S304" s="11">
        <v>15200000</v>
      </c>
    </row>
    <row r="305" spans="1:19" x14ac:dyDescent="0.35">
      <c r="A305" s="1" t="s">
        <v>83</v>
      </c>
      <c r="B305" s="1" t="str">
        <f t="shared" si="15"/>
        <v>DBS Bank</v>
      </c>
      <c r="C305">
        <v>8</v>
      </c>
      <c r="D305">
        <v>0</v>
      </c>
      <c r="E305">
        <v>17</v>
      </c>
      <c r="F305" s="2">
        <v>7750</v>
      </c>
      <c r="G305" s="2">
        <v>7750</v>
      </c>
      <c r="H305" s="2">
        <v>0</v>
      </c>
      <c r="I305" s="2">
        <v>6550</v>
      </c>
      <c r="J305" s="2">
        <v>1200</v>
      </c>
      <c r="K305" s="3">
        <v>1200</v>
      </c>
      <c r="L305" s="3">
        <v>0</v>
      </c>
      <c r="M305" s="3">
        <v>0</v>
      </c>
      <c r="N305" s="4" t="s">
        <v>92</v>
      </c>
      <c r="O305" s="3" t="str">
        <f t="shared" si="13"/>
        <v>Online</v>
      </c>
      <c r="P305" s="11">
        <v>10000000</v>
      </c>
      <c r="Q305" s="3">
        <v>6866900000</v>
      </c>
      <c r="R305" s="3">
        <v>4731700000</v>
      </c>
      <c r="S305" s="11">
        <v>15200000</v>
      </c>
    </row>
    <row r="306" spans="1:19" x14ac:dyDescent="0.35">
      <c r="A306" s="1" t="s">
        <v>84</v>
      </c>
      <c r="B306" s="1" t="str">
        <f t="shared" si="15"/>
        <v>DBS Bank</v>
      </c>
      <c r="C306">
        <v>93</v>
      </c>
      <c r="D306">
        <v>0</v>
      </c>
      <c r="E306">
        <v>414</v>
      </c>
      <c r="F306" s="2">
        <v>116512.03</v>
      </c>
      <c r="G306" s="2">
        <v>0</v>
      </c>
      <c r="H306" s="2">
        <v>116512.03</v>
      </c>
      <c r="I306" s="2">
        <v>102562.03</v>
      </c>
      <c r="J306" s="2">
        <v>13950</v>
      </c>
      <c r="K306" s="3">
        <v>13950</v>
      </c>
      <c r="L306" s="3">
        <v>0</v>
      </c>
      <c r="M306" s="3">
        <v>0</v>
      </c>
      <c r="N306" s="4" t="s">
        <v>92</v>
      </c>
      <c r="O306" s="3" t="str">
        <f t="shared" si="13"/>
        <v>Offline - F&amp;B</v>
      </c>
      <c r="P306" s="11">
        <v>10000000</v>
      </c>
      <c r="Q306" s="3">
        <v>6866900000</v>
      </c>
      <c r="R306" s="3">
        <v>4731700000</v>
      </c>
      <c r="S306" s="11">
        <v>15200000</v>
      </c>
    </row>
    <row r="307" spans="1:19" x14ac:dyDescent="0.35">
      <c r="A307" s="1" t="s">
        <v>85</v>
      </c>
      <c r="B307" s="1" t="str">
        <f t="shared" si="15"/>
        <v>DBS Bank</v>
      </c>
      <c r="C307">
        <v>70</v>
      </c>
      <c r="D307">
        <v>70</v>
      </c>
      <c r="E307">
        <v>211</v>
      </c>
      <c r="F307" s="2">
        <v>69108.639999999999</v>
      </c>
      <c r="G307" s="2">
        <v>69148.3</v>
      </c>
      <c r="H307" s="2">
        <v>0</v>
      </c>
      <c r="I307" s="2">
        <v>53231.39</v>
      </c>
      <c r="J307" s="2">
        <v>15877.25</v>
      </c>
      <c r="K307" s="3">
        <v>15877.25</v>
      </c>
      <c r="L307" s="3">
        <v>0</v>
      </c>
      <c r="M307" s="3">
        <v>0</v>
      </c>
      <c r="N307" s="4" t="s">
        <v>92</v>
      </c>
      <c r="O307" s="3" t="str">
        <f t="shared" si="13"/>
        <v>Offline - Box Office</v>
      </c>
      <c r="P307" s="11">
        <v>10000000</v>
      </c>
      <c r="Q307" s="3">
        <v>6866900000</v>
      </c>
      <c r="R307" s="3">
        <v>4731700000</v>
      </c>
      <c r="S307" s="11">
        <v>15200000</v>
      </c>
    </row>
    <row r="308" spans="1:19" x14ac:dyDescent="0.35">
      <c r="A308" s="1" t="s">
        <v>86</v>
      </c>
      <c r="B308" s="1" t="str">
        <f t="shared" si="15"/>
        <v>DBS Bank</v>
      </c>
      <c r="C308">
        <v>465</v>
      </c>
      <c r="D308">
        <v>465</v>
      </c>
      <c r="E308">
        <v>1151</v>
      </c>
      <c r="F308" s="2">
        <v>421514.93</v>
      </c>
      <c r="G308" s="2">
        <v>363645.75</v>
      </c>
      <c r="H308" s="2">
        <v>6700</v>
      </c>
      <c r="I308" s="2">
        <v>314047.82</v>
      </c>
      <c r="J308" s="2">
        <v>106511.11</v>
      </c>
      <c r="K308" s="3">
        <v>106511.11</v>
      </c>
      <c r="L308" s="3">
        <v>0</v>
      </c>
      <c r="M308" s="3">
        <v>50283.34</v>
      </c>
      <c r="N308" s="4" t="s">
        <v>92</v>
      </c>
      <c r="O308" s="3" t="str">
        <f t="shared" si="13"/>
        <v>Online</v>
      </c>
      <c r="P308" s="11">
        <v>10000000</v>
      </c>
      <c r="Q308" s="3">
        <v>6866900000</v>
      </c>
      <c r="R308" s="3">
        <v>4731700000</v>
      </c>
      <c r="S308" s="11">
        <v>15200000</v>
      </c>
    </row>
    <row r="309" spans="1:19" x14ac:dyDescent="0.35">
      <c r="A309" s="1" t="s">
        <v>73</v>
      </c>
      <c r="B309" s="1" t="str">
        <f t="shared" si="15"/>
        <v>Federal Bank</v>
      </c>
      <c r="C309">
        <v>1077</v>
      </c>
      <c r="D309">
        <v>1077</v>
      </c>
      <c r="E309">
        <v>3177</v>
      </c>
      <c r="F309" s="2">
        <v>834333.53</v>
      </c>
      <c r="G309" s="2">
        <v>834054.22</v>
      </c>
      <c r="H309" s="2">
        <v>380</v>
      </c>
      <c r="I309" s="2">
        <v>726960.45</v>
      </c>
      <c r="J309" s="2">
        <v>107373.08</v>
      </c>
      <c r="K309" s="3">
        <v>85898.49</v>
      </c>
      <c r="L309" s="3">
        <v>21474.59</v>
      </c>
      <c r="M309" s="3">
        <v>0</v>
      </c>
      <c r="N309" s="4" t="s">
        <v>92</v>
      </c>
      <c r="O309" s="3" t="str">
        <f t="shared" si="13"/>
        <v>Offline - Box Office</v>
      </c>
      <c r="P309" s="11">
        <v>10000000</v>
      </c>
      <c r="Q309" s="3">
        <v>6866900000</v>
      </c>
      <c r="R309" s="3">
        <v>4731700000</v>
      </c>
      <c r="S309" s="11">
        <v>15200000</v>
      </c>
    </row>
    <row r="310" spans="1:19" x14ac:dyDescent="0.35">
      <c r="A310" s="1" t="s">
        <v>74</v>
      </c>
      <c r="B310" s="1" t="str">
        <f t="shared" si="15"/>
        <v>Federal Bank</v>
      </c>
      <c r="C310">
        <v>609</v>
      </c>
      <c r="D310">
        <v>609</v>
      </c>
      <c r="E310">
        <v>1610</v>
      </c>
      <c r="F310" s="2">
        <v>496733.94</v>
      </c>
      <c r="G310" s="2">
        <v>423960.22</v>
      </c>
      <c r="H310" s="2">
        <v>7475</v>
      </c>
      <c r="I310" s="2">
        <v>435060.46</v>
      </c>
      <c r="J310" s="2">
        <v>60217.48</v>
      </c>
      <c r="K310" s="3">
        <v>48174.02</v>
      </c>
      <c r="L310" s="3">
        <v>12043.46</v>
      </c>
      <c r="M310" s="3">
        <v>63842.720000000001</v>
      </c>
      <c r="N310" s="4" t="s">
        <v>92</v>
      </c>
      <c r="O310" s="3" t="str">
        <f t="shared" si="13"/>
        <v>Online</v>
      </c>
      <c r="P310" s="11">
        <v>10000000</v>
      </c>
      <c r="Q310" s="3">
        <v>6866900000</v>
      </c>
      <c r="R310" s="3">
        <v>4731700000</v>
      </c>
      <c r="S310" s="11">
        <v>15200000</v>
      </c>
    </row>
    <row r="311" spans="1:19" x14ac:dyDescent="0.35">
      <c r="A311" s="1" t="s">
        <v>27</v>
      </c>
      <c r="B311" s="1" t="str">
        <f t="shared" si="15"/>
        <v>Federal Bank</v>
      </c>
      <c r="C311">
        <v>41</v>
      </c>
      <c r="D311">
        <v>41</v>
      </c>
      <c r="E311">
        <v>123</v>
      </c>
      <c r="F311" s="2">
        <v>32702.9</v>
      </c>
      <c r="G311" s="2">
        <v>32702.9</v>
      </c>
      <c r="H311" s="2">
        <v>0</v>
      </c>
      <c r="I311" s="2">
        <v>28602.9</v>
      </c>
      <c r="J311" s="2">
        <v>4100</v>
      </c>
      <c r="K311" s="3">
        <v>4100</v>
      </c>
      <c r="L311" s="3">
        <v>0</v>
      </c>
      <c r="M311" s="3">
        <v>0</v>
      </c>
      <c r="N311" s="4" t="s">
        <v>92</v>
      </c>
      <c r="O311" s="3" t="str">
        <f t="shared" si="13"/>
        <v>Offline - Box Office</v>
      </c>
      <c r="P311" s="11">
        <v>10000000</v>
      </c>
      <c r="Q311" s="3">
        <v>6866900000</v>
      </c>
      <c r="R311" s="3">
        <v>4731700000</v>
      </c>
      <c r="S311" s="11">
        <v>15200000</v>
      </c>
    </row>
    <row r="312" spans="1:19" x14ac:dyDescent="0.35">
      <c r="A312" s="1" t="s">
        <v>28</v>
      </c>
      <c r="B312" s="1" t="str">
        <f t="shared" si="15"/>
        <v>Federal Bank</v>
      </c>
      <c r="C312">
        <v>20</v>
      </c>
      <c r="D312">
        <v>20</v>
      </c>
      <c r="E312">
        <v>46</v>
      </c>
      <c r="F312" s="2">
        <v>17465.18</v>
      </c>
      <c r="G312" s="2">
        <v>15565.98</v>
      </c>
      <c r="H312" s="2">
        <v>0</v>
      </c>
      <c r="I312" s="2">
        <v>15435.47</v>
      </c>
      <c r="J312" s="2">
        <v>1975.71</v>
      </c>
      <c r="K312" s="3">
        <v>1975.71</v>
      </c>
      <c r="L312" s="3">
        <v>0</v>
      </c>
      <c r="M312" s="3">
        <v>1853.78</v>
      </c>
      <c r="N312" s="4" t="s">
        <v>92</v>
      </c>
      <c r="O312" s="3" t="str">
        <f t="shared" si="13"/>
        <v>Online</v>
      </c>
      <c r="P312" s="11">
        <v>10000000</v>
      </c>
      <c r="Q312" s="3">
        <v>6866900000</v>
      </c>
      <c r="R312" s="3">
        <v>4731700000</v>
      </c>
      <c r="S312" s="11">
        <v>15200000</v>
      </c>
    </row>
    <row r="313" spans="1:19" x14ac:dyDescent="0.35">
      <c r="A313" s="1" t="s">
        <v>29</v>
      </c>
      <c r="B313" s="1" t="str">
        <f t="shared" si="15"/>
        <v>Federal Bank</v>
      </c>
      <c r="C313">
        <v>129</v>
      </c>
      <c r="D313">
        <v>129</v>
      </c>
      <c r="E313">
        <v>421</v>
      </c>
      <c r="F313" s="2">
        <v>123785.79</v>
      </c>
      <c r="G313" s="2">
        <v>123785.79</v>
      </c>
      <c r="H313" s="2">
        <v>0</v>
      </c>
      <c r="I313" s="2">
        <v>110922.06</v>
      </c>
      <c r="J313" s="2">
        <v>12863.73</v>
      </c>
      <c r="K313" s="3">
        <v>12863.73</v>
      </c>
      <c r="L313" s="3">
        <v>0</v>
      </c>
      <c r="M313" s="3">
        <v>0</v>
      </c>
      <c r="N313" s="4" t="s">
        <v>92</v>
      </c>
      <c r="O313" s="3" t="str">
        <f t="shared" si="13"/>
        <v>Offline - Box Office</v>
      </c>
      <c r="P313" s="11">
        <v>10000000</v>
      </c>
      <c r="Q313" s="3">
        <v>6866900000</v>
      </c>
      <c r="R313" s="3">
        <v>4731700000</v>
      </c>
      <c r="S313" s="11">
        <v>15200000</v>
      </c>
    </row>
    <row r="314" spans="1:19" x14ac:dyDescent="0.35">
      <c r="A314" s="1" t="s">
        <v>30</v>
      </c>
      <c r="B314" s="1" t="str">
        <f t="shared" si="15"/>
        <v>Federal Bank</v>
      </c>
      <c r="C314">
        <v>68</v>
      </c>
      <c r="D314">
        <v>68</v>
      </c>
      <c r="E314">
        <v>179</v>
      </c>
      <c r="F314" s="2">
        <v>65057.36</v>
      </c>
      <c r="G314" s="2">
        <v>56621.08</v>
      </c>
      <c r="H314" s="2">
        <v>270</v>
      </c>
      <c r="I314" s="2">
        <v>58079.360000000001</v>
      </c>
      <c r="J314" s="2">
        <v>6800</v>
      </c>
      <c r="K314" s="3">
        <v>6800</v>
      </c>
      <c r="L314" s="3">
        <v>0</v>
      </c>
      <c r="M314" s="3">
        <v>8015.74</v>
      </c>
      <c r="N314" s="4" t="s">
        <v>92</v>
      </c>
      <c r="O314" s="3" t="str">
        <f t="shared" si="13"/>
        <v>Online</v>
      </c>
      <c r="P314" s="11">
        <v>10000000</v>
      </c>
      <c r="Q314" s="3">
        <v>6866900000</v>
      </c>
      <c r="R314" s="3">
        <v>4731700000</v>
      </c>
      <c r="S314" s="11">
        <v>15200000</v>
      </c>
    </row>
    <row r="315" spans="1:19" x14ac:dyDescent="0.35">
      <c r="A315" s="1" t="s">
        <v>31</v>
      </c>
      <c r="B315" s="1" t="str">
        <f t="shared" si="15"/>
        <v>HSBC</v>
      </c>
      <c r="C315">
        <v>12</v>
      </c>
      <c r="D315">
        <v>0</v>
      </c>
      <c r="E315">
        <v>33</v>
      </c>
      <c r="F315" s="2">
        <v>26473.200000000001</v>
      </c>
      <c r="G315" s="2">
        <v>23570</v>
      </c>
      <c r="H315" s="2">
        <v>0</v>
      </c>
      <c r="I315" s="2">
        <v>24092.2</v>
      </c>
      <c r="J315" s="2">
        <v>2357</v>
      </c>
      <c r="K315" s="3">
        <v>1178.5</v>
      </c>
      <c r="L315" s="3">
        <v>1178.5</v>
      </c>
      <c r="M315" s="3">
        <v>2879.2</v>
      </c>
      <c r="N315" s="4" t="s">
        <v>92</v>
      </c>
      <c r="O315" s="3" t="str">
        <f t="shared" si="13"/>
        <v>Online</v>
      </c>
      <c r="P315" s="11">
        <v>10000000</v>
      </c>
      <c r="Q315" s="3">
        <v>6866900000</v>
      </c>
      <c r="R315" s="3">
        <v>4731700000</v>
      </c>
      <c r="S315" s="11">
        <v>15200000</v>
      </c>
    </row>
    <row r="316" spans="1:19" x14ac:dyDescent="0.35">
      <c r="A316" s="1" t="s">
        <v>32</v>
      </c>
      <c r="B316" s="1" t="str">
        <f t="shared" si="15"/>
        <v>ICICI Bank</v>
      </c>
      <c r="C316">
        <v>4947</v>
      </c>
      <c r="D316">
        <v>0</v>
      </c>
      <c r="E316">
        <v>14998</v>
      </c>
      <c r="F316" s="2">
        <v>4516071.3499999996</v>
      </c>
      <c r="G316" s="2">
        <v>4515461.2300000004</v>
      </c>
      <c r="H316" s="2">
        <v>3375</v>
      </c>
      <c r="I316" s="2">
        <v>3990795.35</v>
      </c>
      <c r="J316" s="2">
        <v>525276</v>
      </c>
      <c r="K316" s="3">
        <v>462242.88</v>
      </c>
      <c r="L316" s="3">
        <v>63033.120000000003</v>
      </c>
      <c r="M316" s="3">
        <v>0</v>
      </c>
      <c r="N316" s="4" t="s">
        <v>92</v>
      </c>
      <c r="O316" s="3" t="str">
        <f t="shared" si="13"/>
        <v>Offline - Box Office</v>
      </c>
      <c r="P316" s="11">
        <v>10000000</v>
      </c>
      <c r="Q316" s="3">
        <v>6866900000</v>
      </c>
      <c r="R316" s="3">
        <v>4731700000</v>
      </c>
      <c r="S316" s="11">
        <v>15200000</v>
      </c>
    </row>
    <row r="317" spans="1:19" x14ac:dyDescent="0.35">
      <c r="A317" s="1" t="s">
        <v>33</v>
      </c>
      <c r="B317" s="1" t="str">
        <f t="shared" si="15"/>
        <v>ICICI Bank</v>
      </c>
      <c r="C317">
        <v>1768</v>
      </c>
      <c r="D317">
        <v>0</v>
      </c>
      <c r="E317">
        <v>4935</v>
      </c>
      <c r="F317" s="2">
        <v>1761850.09</v>
      </c>
      <c r="G317" s="2">
        <v>1520183.39</v>
      </c>
      <c r="H317" s="2">
        <v>30413.32</v>
      </c>
      <c r="I317" s="2">
        <v>1564826.77</v>
      </c>
      <c r="J317" s="2">
        <v>192098</v>
      </c>
      <c r="K317" s="3">
        <v>163283.29999999999</v>
      </c>
      <c r="L317" s="3">
        <v>28814.7</v>
      </c>
      <c r="M317" s="3">
        <v>206891.76</v>
      </c>
      <c r="N317" s="4" t="s">
        <v>92</v>
      </c>
      <c r="O317" s="3" t="str">
        <f t="shared" si="13"/>
        <v>Online</v>
      </c>
      <c r="P317" s="11">
        <v>10000000</v>
      </c>
      <c r="Q317" s="3">
        <v>6866900000</v>
      </c>
      <c r="R317" s="3">
        <v>4731700000</v>
      </c>
      <c r="S317" s="11">
        <v>15200000</v>
      </c>
    </row>
    <row r="318" spans="1:19" x14ac:dyDescent="0.35">
      <c r="A318" s="1" t="s">
        <v>34</v>
      </c>
      <c r="B318" s="1" t="str">
        <f t="shared" si="15"/>
        <v>ICICI Bank</v>
      </c>
      <c r="C318">
        <v>664</v>
      </c>
      <c r="D318">
        <v>0</v>
      </c>
      <c r="E318">
        <v>1956</v>
      </c>
      <c r="F318" s="2">
        <v>607916.03</v>
      </c>
      <c r="G318" s="2">
        <v>607984.42000000004</v>
      </c>
      <c r="H318" s="2">
        <v>75</v>
      </c>
      <c r="I318" s="2">
        <v>572628.03</v>
      </c>
      <c r="J318" s="2">
        <v>35288</v>
      </c>
      <c r="K318" s="3">
        <v>31053.439999999999</v>
      </c>
      <c r="L318" s="3">
        <v>4234.5600000000004</v>
      </c>
      <c r="M318" s="3">
        <v>0</v>
      </c>
      <c r="N318" s="4" t="s">
        <v>92</v>
      </c>
      <c r="O318" s="3" t="str">
        <f t="shared" si="13"/>
        <v>Offline - Box Office</v>
      </c>
      <c r="P318" s="11">
        <v>10000000</v>
      </c>
      <c r="Q318" s="3">
        <v>6866900000</v>
      </c>
      <c r="R318" s="3">
        <v>4731700000</v>
      </c>
      <c r="S318" s="11">
        <v>15200000</v>
      </c>
    </row>
    <row r="319" spans="1:19" x14ac:dyDescent="0.35">
      <c r="A319" s="1" t="s">
        <v>35</v>
      </c>
      <c r="B319" s="1" t="str">
        <f t="shared" si="15"/>
        <v>ICICI Bank</v>
      </c>
      <c r="C319">
        <v>197</v>
      </c>
      <c r="D319">
        <v>0</v>
      </c>
      <c r="E319">
        <v>610</v>
      </c>
      <c r="F319" s="2">
        <v>237733.93</v>
      </c>
      <c r="G319" s="2">
        <v>203274.73</v>
      </c>
      <c r="H319" s="2">
        <v>7570</v>
      </c>
      <c r="I319" s="2">
        <v>226088.93</v>
      </c>
      <c r="J319" s="2">
        <v>10925</v>
      </c>
      <c r="K319" s="3">
        <v>9286.25</v>
      </c>
      <c r="L319" s="3">
        <v>1638.75</v>
      </c>
      <c r="M319" s="3">
        <v>26227.16</v>
      </c>
      <c r="N319" s="4" t="s">
        <v>92</v>
      </c>
      <c r="O319" s="3" t="str">
        <f t="shared" si="13"/>
        <v>Online</v>
      </c>
      <c r="P319" s="11">
        <v>10000000</v>
      </c>
      <c r="Q319" s="3">
        <v>6866900000</v>
      </c>
      <c r="R319" s="3">
        <v>4731700000</v>
      </c>
      <c r="S319" s="11">
        <v>15200000</v>
      </c>
    </row>
    <row r="320" spans="1:19" x14ac:dyDescent="0.35">
      <c r="A320" s="1" t="s">
        <v>46</v>
      </c>
      <c r="B320" s="1" t="str">
        <f t="shared" si="15"/>
        <v>IDBI Bank</v>
      </c>
      <c r="C320">
        <v>78</v>
      </c>
      <c r="D320">
        <v>0</v>
      </c>
      <c r="E320">
        <v>206</v>
      </c>
      <c r="F320" s="2">
        <v>69033.279999999999</v>
      </c>
      <c r="G320" s="2">
        <v>69033.279999999999</v>
      </c>
      <c r="H320" s="2">
        <v>0</v>
      </c>
      <c r="I320" s="2">
        <v>63524.28</v>
      </c>
      <c r="J320" s="2">
        <v>5509</v>
      </c>
      <c r="K320" s="3">
        <v>5509</v>
      </c>
      <c r="L320" s="3">
        <v>0</v>
      </c>
      <c r="M320" s="3">
        <v>0</v>
      </c>
      <c r="N320" s="4" t="s">
        <v>92</v>
      </c>
      <c r="O320" s="3" t="str">
        <f t="shared" si="13"/>
        <v>Offline - Box Office</v>
      </c>
      <c r="P320" s="11">
        <v>10000000</v>
      </c>
      <c r="Q320" s="3">
        <v>6866900000</v>
      </c>
      <c r="R320" s="3">
        <v>4731700000</v>
      </c>
      <c r="S320" s="11">
        <v>15200000</v>
      </c>
    </row>
    <row r="321" spans="1:19" x14ac:dyDescent="0.35">
      <c r="A321" s="1" t="s">
        <v>36</v>
      </c>
      <c r="B321" s="1" t="str">
        <f t="shared" si="15"/>
        <v>IDBI Bank</v>
      </c>
      <c r="C321">
        <v>69</v>
      </c>
      <c r="D321">
        <v>0</v>
      </c>
      <c r="E321">
        <v>157</v>
      </c>
      <c r="F321" s="2">
        <v>53631.7</v>
      </c>
      <c r="G321" s="2">
        <v>47042.1</v>
      </c>
      <c r="H321" s="2">
        <v>570</v>
      </c>
      <c r="I321" s="2">
        <v>48669.7</v>
      </c>
      <c r="J321" s="2">
        <v>4866</v>
      </c>
      <c r="K321" s="3">
        <v>4866</v>
      </c>
      <c r="L321" s="3">
        <v>0</v>
      </c>
      <c r="M321" s="3">
        <v>5923.6</v>
      </c>
      <c r="N321" s="4" t="s">
        <v>92</v>
      </c>
      <c r="O321" s="3" t="str">
        <f t="shared" si="13"/>
        <v>Online</v>
      </c>
      <c r="P321" s="11">
        <v>10000000</v>
      </c>
      <c r="Q321" s="3">
        <v>6866900000</v>
      </c>
      <c r="R321" s="3">
        <v>4731700000</v>
      </c>
      <c r="S321" s="11">
        <v>15200000</v>
      </c>
    </row>
    <row r="322" spans="1:19" x14ac:dyDescent="0.35">
      <c r="A322" s="1" t="s">
        <v>47</v>
      </c>
      <c r="B322" s="1" t="str">
        <f t="shared" si="15"/>
        <v>IDBI Bank</v>
      </c>
      <c r="C322">
        <v>204</v>
      </c>
      <c r="D322">
        <v>0</v>
      </c>
      <c r="E322">
        <v>563</v>
      </c>
      <c r="F322" s="2">
        <v>144670.54</v>
      </c>
      <c r="G322" s="2">
        <v>0</v>
      </c>
      <c r="H322" s="2">
        <v>144670.54</v>
      </c>
      <c r="I322" s="2">
        <v>130779.54</v>
      </c>
      <c r="J322" s="2">
        <v>13891</v>
      </c>
      <c r="K322" s="3">
        <v>9723.7000000000007</v>
      </c>
      <c r="L322" s="3">
        <v>4167.3</v>
      </c>
      <c r="M322" s="3">
        <v>0</v>
      </c>
      <c r="N322" s="4" t="s">
        <v>92</v>
      </c>
      <c r="O322" s="3" t="str">
        <f t="shared" ref="O322:O385" si="16">IF(ISNUMBER(SEARCH("Box Office",A322)),"Offline - Box Office",
IF(ISNUMBER(SEARCH("Digital Platforms",A322)),"Online",
IF(ISNUMBER(SEARCH("Refuel",A322)),"Offline - F&amp;B",
IF(ISNUMBER(SEARCH("Food &amp; Beverages",A322)),"Offline - F&amp;B",
IF(ISNUMBER(SEARCH("F&amp;B",A322)),"Offline - F&amp;B",
IF(ISNUMBER(SEARCH("Kiosk",A322)),"Offline - Box Office",
IF(ISNUMBER(SEARCH("Cinema",A322)),"Offline - Box Office",
"Other")))))))</f>
        <v>Offline - F&amp;B</v>
      </c>
      <c r="P322" s="11">
        <v>10000000</v>
      </c>
      <c r="Q322" s="3">
        <v>6866900000</v>
      </c>
      <c r="R322" s="3">
        <v>4731700000</v>
      </c>
      <c r="S322" s="11">
        <v>15200000</v>
      </c>
    </row>
    <row r="323" spans="1:19" x14ac:dyDescent="0.35">
      <c r="A323" s="1" t="s">
        <v>48</v>
      </c>
      <c r="B323" s="1" t="str">
        <f t="shared" si="15"/>
        <v>IDBI Bank</v>
      </c>
      <c r="C323">
        <v>70</v>
      </c>
      <c r="D323">
        <v>0</v>
      </c>
      <c r="E323">
        <v>214</v>
      </c>
      <c r="F323" s="2">
        <v>63890.34</v>
      </c>
      <c r="G323" s="2">
        <v>63890.34</v>
      </c>
      <c r="H323" s="2">
        <v>0</v>
      </c>
      <c r="I323" s="2">
        <v>54480.34</v>
      </c>
      <c r="J323" s="2">
        <v>9410</v>
      </c>
      <c r="K323" s="3">
        <v>9410</v>
      </c>
      <c r="L323" s="3">
        <v>0</v>
      </c>
      <c r="M323" s="3">
        <v>0</v>
      </c>
      <c r="N323" s="4" t="s">
        <v>92</v>
      </c>
      <c r="O323" s="3" t="str">
        <f t="shared" si="16"/>
        <v>Offline - Box Office</v>
      </c>
      <c r="P323" s="11">
        <v>10000000</v>
      </c>
      <c r="Q323" s="3">
        <v>6866900000</v>
      </c>
      <c r="R323" s="3">
        <v>4731700000</v>
      </c>
      <c r="S323" s="11">
        <v>15200000</v>
      </c>
    </row>
    <row r="324" spans="1:19" x14ac:dyDescent="0.35">
      <c r="A324" s="1" t="s">
        <v>37</v>
      </c>
      <c r="B324" s="1" t="str">
        <f t="shared" si="15"/>
        <v>IDBI Bank</v>
      </c>
      <c r="C324">
        <v>70</v>
      </c>
      <c r="D324">
        <v>0</v>
      </c>
      <c r="E324">
        <v>159</v>
      </c>
      <c r="F324" s="2">
        <v>60366.48</v>
      </c>
      <c r="G324" s="2">
        <v>53018.14</v>
      </c>
      <c r="H324" s="2">
        <v>640</v>
      </c>
      <c r="I324" s="2">
        <v>51337.48</v>
      </c>
      <c r="J324" s="2">
        <v>8885</v>
      </c>
      <c r="K324" s="3">
        <v>8885</v>
      </c>
      <c r="L324" s="3">
        <v>0</v>
      </c>
      <c r="M324" s="3">
        <v>6564.34</v>
      </c>
      <c r="N324" s="4" t="s">
        <v>92</v>
      </c>
      <c r="O324" s="3" t="str">
        <f t="shared" si="16"/>
        <v>Online</v>
      </c>
      <c r="P324" s="11">
        <v>10000000</v>
      </c>
      <c r="Q324" s="3">
        <v>6866900000</v>
      </c>
      <c r="R324" s="3">
        <v>4731700000</v>
      </c>
      <c r="S324" s="11">
        <v>15200000</v>
      </c>
    </row>
    <row r="325" spans="1:19" x14ac:dyDescent="0.35">
      <c r="A325" s="1" t="s">
        <v>49</v>
      </c>
      <c r="B325" s="1" t="str">
        <f t="shared" si="15"/>
        <v>IDBI Bank</v>
      </c>
      <c r="C325">
        <v>161</v>
      </c>
      <c r="D325">
        <v>0</v>
      </c>
      <c r="E325">
        <v>467</v>
      </c>
      <c r="F325" s="2">
        <v>123943.5</v>
      </c>
      <c r="G325" s="2">
        <v>0</v>
      </c>
      <c r="H325" s="2">
        <v>123943.5</v>
      </c>
      <c r="I325" s="2">
        <v>104598.5</v>
      </c>
      <c r="J325" s="2">
        <v>19345</v>
      </c>
      <c r="K325" s="3">
        <v>13541.5</v>
      </c>
      <c r="L325" s="3">
        <v>5803.5</v>
      </c>
      <c r="M325" s="3">
        <v>0</v>
      </c>
      <c r="N325" s="4" t="s">
        <v>92</v>
      </c>
      <c r="O325" s="3" t="str">
        <f t="shared" si="16"/>
        <v>Offline - F&amp;B</v>
      </c>
      <c r="P325" s="11">
        <v>10000000</v>
      </c>
      <c r="Q325" s="3">
        <v>6866900000</v>
      </c>
      <c r="R325" s="3">
        <v>4731700000</v>
      </c>
      <c r="S325" s="11">
        <v>15200000</v>
      </c>
    </row>
    <row r="326" spans="1:19" x14ac:dyDescent="0.35">
      <c r="A326" s="1" t="s">
        <v>87</v>
      </c>
      <c r="B326" s="1" t="str">
        <f t="shared" si="15"/>
        <v>J&amp;K Bank</v>
      </c>
      <c r="C326">
        <v>22</v>
      </c>
      <c r="D326">
        <v>0</v>
      </c>
      <c r="E326">
        <v>80</v>
      </c>
      <c r="F326" s="2">
        <v>30365.439999999999</v>
      </c>
      <c r="G326" s="2">
        <v>25850</v>
      </c>
      <c r="H326" s="2">
        <v>390</v>
      </c>
      <c r="I326" s="2">
        <v>19611.439999999999</v>
      </c>
      <c r="J326" s="2">
        <v>10650</v>
      </c>
      <c r="K326" s="3">
        <v>10650</v>
      </c>
      <c r="L326" s="3">
        <v>0</v>
      </c>
      <c r="M326" s="3">
        <v>4021.44</v>
      </c>
      <c r="N326" s="4" t="s">
        <v>92</v>
      </c>
      <c r="O326" s="3" t="str">
        <f t="shared" si="16"/>
        <v>Online</v>
      </c>
      <c r="P326" s="11">
        <v>10000000</v>
      </c>
      <c r="Q326" s="3">
        <v>6866900000</v>
      </c>
      <c r="R326" s="3">
        <v>4731700000</v>
      </c>
      <c r="S326" s="11">
        <v>15200000</v>
      </c>
    </row>
    <row r="327" spans="1:19" x14ac:dyDescent="0.35">
      <c r="A327" s="1" t="s">
        <v>75</v>
      </c>
      <c r="B327" s="1" t="str">
        <f t="shared" si="15"/>
        <v>J&amp;K Bank</v>
      </c>
      <c r="C327">
        <v>25</v>
      </c>
      <c r="D327">
        <v>0</v>
      </c>
      <c r="E327">
        <v>65</v>
      </c>
      <c r="F327" s="2">
        <v>31984.82</v>
      </c>
      <c r="G327" s="2">
        <v>28040</v>
      </c>
      <c r="H327" s="2">
        <v>70</v>
      </c>
      <c r="I327" s="2">
        <v>19969.82</v>
      </c>
      <c r="J327" s="2">
        <v>11915</v>
      </c>
      <c r="K327" s="3">
        <v>11319.25</v>
      </c>
      <c r="L327" s="3">
        <v>595.75</v>
      </c>
      <c r="M327" s="3">
        <v>3774.82</v>
      </c>
      <c r="N327" s="4" t="s">
        <v>92</v>
      </c>
      <c r="O327" s="3" t="str">
        <f t="shared" si="16"/>
        <v>Online</v>
      </c>
      <c r="P327" s="11">
        <v>10000000</v>
      </c>
      <c r="Q327" s="3">
        <v>6866900000</v>
      </c>
      <c r="R327" s="3">
        <v>4731700000</v>
      </c>
      <c r="S327" s="11">
        <v>15200000</v>
      </c>
    </row>
    <row r="328" spans="1:19" x14ac:dyDescent="0.35">
      <c r="A328" s="1" t="s">
        <v>98</v>
      </c>
      <c r="B328" s="1" t="str">
        <f t="shared" si="15"/>
        <v>J&amp;K Bank</v>
      </c>
      <c r="C328">
        <v>15</v>
      </c>
      <c r="D328">
        <v>0</v>
      </c>
      <c r="E328">
        <v>46</v>
      </c>
      <c r="F328" s="2">
        <v>19774.240000000002</v>
      </c>
      <c r="G328" s="2">
        <v>17140</v>
      </c>
      <c r="H328" s="2">
        <v>0</v>
      </c>
      <c r="I328" s="2">
        <v>12478.24</v>
      </c>
      <c r="J328" s="2">
        <v>7220</v>
      </c>
      <c r="K328" s="3">
        <v>7220</v>
      </c>
      <c r="L328" s="3">
        <v>0</v>
      </c>
      <c r="M328" s="3">
        <v>2558.2399999999998</v>
      </c>
      <c r="N328" s="4" t="s">
        <v>92</v>
      </c>
      <c r="O328" s="3" t="str">
        <f t="shared" si="16"/>
        <v>Other</v>
      </c>
      <c r="P328" s="11">
        <v>10000000</v>
      </c>
      <c r="Q328" s="3">
        <v>6866900000</v>
      </c>
      <c r="R328" s="3">
        <v>4731700000</v>
      </c>
      <c r="S328" s="11">
        <v>15200000</v>
      </c>
    </row>
    <row r="329" spans="1:19" x14ac:dyDescent="0.35">
      <c r="A329" s="1" t="s">
        <v>88</v>
      </c>
      <c r="B329" s="1" t="str">
        <f t="shared" si="15"/>
        <v>J&amp;K Bank</v>
      </c>
      <c r="C329">
        <v>1</v>
      </c>
      <c r="D329">
        <v>0</v>
      </c>
      <c r="E329">
        <v>3</v>
      </c>
      <c r="F329" s="2">
        <v>900</v>
      </c>
      <c r="G329" s="2">
        <v>900</v>
      </c>
      <c r="H329" s="2">
        <v>0</v>
      </c>
      <c r="I329" s="2">
        <v>450</v>
      </c>
      <c r="J329" s="2">
        <v>450</v>
      </c>
      <c r="K329" s="3">
        <v>427.5</v>
      </c>
      <c r="L329" s="3">
        <v>22.5</v>
      </c>
      <c r="M329" s="3">
        <v>0</v>
      </c>
      <c r="N329" s="4" t="s">
        <v>92</v>
      </c>
      <c r="O329" s="3" t="str">
        <f t="shared" si="16"/>
        <v>Offline - Box Office</v>
      </c>
      <c r="P329" s="11">
        <v>10000000</v>
      </c>
      <c r="Q329" s="3">
        <v>6866900000</v>
      </c>
      <c r="R329" s="3">
        <v>4731700000</v>
      </c>
      <c r="S329" s="11">
        <v>15200000</v>
      </c>
    </row>
    <row r="330" spans="1:19" x14ac:dyDescent="0.35">
      <c r="A330" s="1" t="s">
        <v>77</v>
      </c>
      <c r="B330" s="1" t="str">
        <f t="shared" si="15"/>
        <v>J&amp;K Bank</v>
      </c>
      <c r="C330">
        <v>119</v>
      </c>
      <c r="D330">
        <v>0</v>
      </c>
      <c r="E330">
        <v>322</v>
      </c>
      <c r="F330" s="2">
        <v>142230.88</v>
      </c>
      <c r="G330" s="2">
        <v>123672</v>
      </c>
      <c r="H330" s="2">
        <v>860</v>
      </c>
      <c r="I330" s="2">
        <v>86190.88</v>
      </c>
      <c r="J330" s="2">
        <v>55706</v>
      </c>
      <c r="K330" s="3">
        <v>52920.7</v>
      </c>
      <c r="L330" s="3">
        <v>2785.3</v>
      </c>
      <c r="M330" s="3">
        <v>17364.88</v>
      </c>
      <c r="N330" s="4" t="s">
        <v>92</v>
      </c>
      <c r="O330" s="3" t="str">
        <f t="shared" si="16"/>
        <v>Online</v>
      </c>
      <c r="P330" s="11">
        <v>10000000</v>
      </c>
      <c r="Q330" s="3">
        <v>6866900000</v>
      </c>
      <c r="R330" s="3">
        <v>4731700000</v>
      </c>
      <c r="S330" s="11">
        <v>15200000</v>
      </c>
    </row>
    <row r="331" spans="1:19" x14ac:dyDescent="0.35">
      <c r="A331" s="1" t="s">
        <v>51</v>
      </c>
      <c r="B331" s="1" t="str">
        <f t="shared" si="15"/>
        <v>Kotak Mahindra Bank</v>
      </c>
      <c r="C331">
        <v>55</v>
      </c>
      <c r="D331">
        <v>0</v>
      </c>
      <c r="E331">
        <v>132</v>
      </c>
      <c r="F331" s="2">
        <v>122573.78</v>
      </c>
      <c r="G331" s="2">
        <v>110790</v>
      </c>
      <c r="H331" s="2">
        <v>450</v>
      </c>
      <c r="I331" s="2">
        <v>101477.78</v>
      </c>
      <c r="J331" s="2">
        <v>20982</v>
      </c>
      <c r="K331" s="3">
        <v>16785.599999999999</v>
      </c>
      <c r="L331" s="3">
        <v>4196.3999999999996</v>
      </c>
      <c r="M331" s="3">
        <v>11379.92</v>
      </c>
      <c r="N331" s="4" t="s">
        <v>92</v>
      </c>
      <c r="O331" s="3" t="str">
        <f t="shared" si="16"/>
        <v>Online</v>
      </c>
      <c r="P331" s="11">
        <v>10000000</v>
      </c>
      <c r="Q331" s="3">
        <v>6866900000</v>
      </c>
      <c r="R331" s="3">
        <v>4731700000</v>
      </c>
      <c r="S331" s="11">
        <v>15200000</v>
      </c>
    </row>
    <row r="332" spans="1:19" x14ac:dyDescent="0.35">
      <c r="A332" s="1" t="s">
        <v>90</v>
      </c>
      <c r="B332" s="1" t="str">
        <f t="shared" ref="B332:B363" si="17">IF(ISNUMBER(SEARCH("AXIS",A332)),"Axis Bank",
IF(ISNUMBER(SEARCH("HDFC",A332)),"HDFC Bank",
IF(ISNUMBER(SEARCH("ICICI",A332)),"ICICI Bank",
IF(ISNUMBER(SEARCH("AU",A332)),"AU Bank",
IF(ISNUMBER(SEARCH("KOTAK",A332)),"Kotak Mahindra Bank",
IF(ISNUMBER(SEARCH("SBI",A332)),"State Bank of India",
IF(ISNUMBER(SEARCH("HSBC",A332)),"HSBC",
IF(ISNUMBER(SEARCH("DBS",A332)),"DBS Bank",
IF(ISNUMBER(SEARCH("SCAPIA",A332)),"Scapia",
IF(ISNUMBER(SEARCH("STANDARD CHARTERED",A332)),"Standard Chartered Bank",
IF(ISNUMBER(SEARCH("IDBI",A332)),"IDBI Bank",
IF(ISNUMBER(SEARCH("J&amp;K",A332)),"J&amp;K Bank",
IF(ISNUMBER(SEARCH("JAMMU",A332)),"J&amp;K Bank",
IF(ISNUMBER(SEARCH("FEDERAL",A332)),"Federal Bank",
IF(ISNUMBER(SEARCH("BOBCARD",A332)),"BOB Card",
IF(ISNUMBER(SEARCH("BANK OF BARODA",A332)),"BOB Card",
IF(ISNUMBER(SEARCH("AMEX",A332)),"American Express",
IF(ISNUMBER(SEARCH("PLATINUM",A332)),"American Express",
IF(ISNUMBER(SEARCH("CENTURION",A332)),"American Express",
IF(ISNUMBER(SEARCH("VISA",A332)),"Visa",
IF(ISNUMBER(SEARCH("MASTERCARD",A332)),"Mastercard",
"")))))))))))))))))))))</f>
        <v>Kotak Mahindra Bank</v>
      </c>
      <c r="C332">
        <v>24</v>
      </c>
      <c r="D332">
        <v>24</v>
      </c>
      <c r="E332">
        <v>61</v>
      </c>
      <c r="F332" s="2">
        <v>79594.34</v>
      </c>
      <c r="G332" s="2">
        <v>73560</v>
      </c>
      <c r="H332" s="2">
        <v>0</v>
      </c>
      <c r="I332" s="2">
        <v>58204.34</v>
      </c>
      <c r="J332" s="2">
        <v>21330</v>
      </c>
      <c r="K332" s="3">
        <v>21330</v>
      </c>
      <c r="L332" s="3">
        <v>0</v>
      </c>
      <c r="M332" s="3">
        <v>5974.34</v>
      </c>
      <c r="N332" s="4" t="s">
        <v>92</v>
      </c>
      <c r="O332" s="3" t="str">
        <f t="shared" si="16"/>
        <v>Online</v>
      </c>
      <c r="P332" s="11">
        <v>10000000</v>
      </c>
      <c r="Q332" s="3">
        <v>6866900000</v>
      </c>
      <c r="R332" s="3">
        <v>4731700000</v>
      </c>
      <c r="S332" s="11">
        <v>15200000</v>
      </c>
    </row>
    <row r="333" spans="1:19" x14ac:dyDescent="0.35">
      <c r="A333" s="1" t="s">
        <v>38</v>
      </c>
      <c r="B333" s="1" t="str">
        <f t="shared" si="17"/>
        <v>Kotak Mahindra Bank</v>
      </c>
      <c r="C333">
        <v>16485</v>
      </c>
      <c r="D333">
        <v>0</v>
      </c>
      <c r="E333">
        <v>39795</v>
      </c>
      <c r="F333" s="2">
        <v>9899411.0800000001</v>
      </c>
      <c r="G333" s="2">
        <v>430556.62</v>
      </c>
      <c r="H333" s="2">
        <v>9464365.5800000001</v>
      </c>
      <c r="I333" s="2">
        <v>7926689.0800000001</v>
      </c>
      <c r="J333" s="2">
        <v>1972618</v>
      </c>
      <c r="K333" s="3">
        <v>0</v>
      </c>
      <c r="L333" s="3">
        <v>1972618</v>
      </c>
      <c r="M333" s="3">
        <v>4384.88</v>
      </c>
      <c r="N333" s="4" t="s">
        <v>92</v>
      </c>
      <c r="O333" s="3" t="str">
        <f t="shared" si="16"/>
        <v>Other</v>
      </c>
      <c r="P333" s="11">
        <v>10000000</v>
      </c>
      <c r="Q333" s="3">
        <v>6866900000</v>
      </c>
      <c r="R333" s="3">
        <v>4731700000</v>
      </c>
      <c r="S333" s="11">
        <v>15200000</v>
      </c>
    </row>
    <row r="334" spans="1:19" x14ac:dyDescent="0.35">
      <c r="A334" s="1" t="s">
        <v>58</v>
      </c>
      <c r="B334" s="1" t="str">
        <f t="shared" si="17"/>
        <v>Kotak Mahindra Bank</v>
      </c>
      <c r="C334">
        <v>3208</v>
      </c>
      <c r="D334">
        <v>0</v>
      </c>
      <c r="E334">
        <v>8670</v>
      </c>
      <c r="F334" s="2">
        <v>2949356.73</v>
      </c>
      <c r="G334" s="2">
        <v>2797916.95</v>
      </c>
      <c r="H334" s="2">
        <v>1860</v>
      </c>
      <c r="I334" s="2">
        <v>2848208.71</v>
      </c>
      <c r="J334" s="2">
        <v>98907</v>
      </c>
      <c r="K334" s="3">
        <v>0</v>
      </c>
      <c r="L334" s="3">
        <v>98907</v>
      </c>
      <c r="M334" s="3">
        <v>148035.26</v>
      </c>
      <c r="N334" s="4" t="s">
        <v>92</v>
      </c>
      <c r="O334" s="3" t="str">
        <f t="shared" si="16"/>
        <v>Other</v>
      </c>
      <c r="P334" s="11">
        <v>10000000</v>
      </c>
      <c r="Q334" s="3">
        <v>6866900000</v>
      </c>
      <c r="R334" s="3">
        <v>4731700000</v>
      </c>
      <c r="S334" s="11">
        <v>15200000</v>
      </c>
    </row>
    <row r="335" spans="1:19" x14ac:dyDescent="0.35">
      <c r="A335" s="1" t="s">
        <v>78</v>
      </c>
      <c r="B335" s="1" t="str">
        <f t="shared" si="17"/>
        <v>Mastercard</v>
      </c>
      <c r="C335">
        <v>18999</v>
      </c>
      <c r="D335">
        <v>0</v>
      </c>
      <c r="E335">
        <v>63252</v>
      </c>
      <c r="F335" s="2">
        <v>19910088.27</v>
      </c>
      <c r="G335" s="2">
        <v>5262681.6900000004</v>
      </c>
      <c r="H335" s="2">
        <v>14649188.949999999</v>
      </c>
      <c r="I335" s="2">
        <v>18029330.27</v>
      </c>
      <c r="J335" s="2">
        <v>1880758</v>
      </c>
      <c r="K335" s="3">
        <v>0</v>
      </c>
      <c r="L335" s="3">
        <v>1880758</v>
      </c>
      <c r="M335" s="3">
        <v>0</v>
      </c>
      <c r="N335" s="4" t="s">
        <v>92</v>
      </c>
      <c r="O335" s="3" t="str">
        <f t="shared" si="16"/>
        <v>Other</v>
      </c>
      <c r="P335" s="11">
        <v>10000000</v>
      </c>
      <c r="Q335" s="3">
        <v>6866900000</v>
      </c>
      <c r="R335" s="3">
        <v>4731700000</v>
      </c>
      <c r="S335" s="11">
        <v>15200000</v>
      </c>
    </row>
    <row r="336" spans="1:19" x14ac:dyDescent="0.35">
      <c r="A336" s="1" t="s">
        <v>79</v>
      </c>
      <c r="B336" s="1" t="str">
        <f t="shared" si="17"/>
        <v>Mastercard</v>
      </c>
      <c r="C336">
        <v>12555</v>
      </c>
      <c r="D336">
        <v>0</v>
      </c>
      <c r="E336">
        <v>38104</v>
      </c>
      <c r="F336" s="2">
        <v>11615054.720000001</v>
      </c>
      <c r="G336" s="2">
        <v>3953854.51</v>
      </c>
      <c r="H336" s="2">
        <v>7661894.9400000004</v>
      </c>
      <c r="I336" s="2">
        <v>10360954.720000001</v>
      </c>
      <c r="J336" s="2">
        <v>1254100</v>
      </c>
      <c r="K336" s="3">
        <v>0</v>
      </c>
      <c r="L336" s="3">
        <v>1254100</v>
      </c>
      <c r="M336" s="3">
        <v>0</v>
      </c>
      <c r="N336" s="4" t="s">
        <v>92</v>
      </c>
      <c r="O336" s="3" t="str">
        <f t="shared" si="16"/>
        <v>Other</v>
      </c>
      <c r="P336" s="11">
        <v>10000000</v>
      </c>
      <c r="Q336" s="3">
        <v>6866900000</v>
      </c>
      <c r="R336" s="3">
        <v>4731700000</v>
      </c>
      <c r="S336" s="11">
        <v>15200000</v>
      </c>
    </row>
    <row r="337" spans="1:19" x14ac:dyDescent="0.35">
      <c r="A337" s="1" t="s">
        <v>80</v>
      </c>
      <c r="B337" s="1" t="str">
        <f t="shared" si="17"/>
        <v>State Bank of India</v>
      </c>
      <c r="C337">
        <v>1541</v>
      </c>
      <c r="D337">
        <v>0</v>
      </c>
      <c r="E337">
        <v>5161</v>
      </c>
      <c r="F337" s="2">
        <v>1596408.93</v>
      </c>
      <c r="G337" s="2">
        <v>1596751.25</v>
      </c>
      <c r="H337" s="2">
        <v>150</v>
      </c>
      <c r="I337" s="2">
        <v>1472556.93</v>
      </c>
      <c r="J337" s="2">
        <v>123852</v>
      </c>
      <c r="K337" s="3">
        <v>61926</v>
      </c>
      <c r="L337" s="3">
        <v>61926</v>
      </c>
      <c r="M337" s="3">
        <v>0</v>
      </c>
      <c r="N337" s="4" t="s">
        <v>92</v>
      </c>
      <c r="O337" s="3" t="str">
        <f t="shared" si="16"/>
        <v>Offline - Box Office</v>
      </c>
      <c r="P337" s="11">
        <v>10000000</v>
      </c>
      <c r="Q337" s="3">
        <v>6866900000</v>
      </c>
      <c r="R337" s="3">
        <v>4731700000</v>
      </c>
      <c r="S337" s="11">
        <v>15200000</v>
      </c>
    </row>
    <row r="338" spans="1:19" x14ac:dyDescent="0.35">
      <c r="A338" s="1" t="s">
        <v>65</v>
      </c>
      <c r="B338" s="1" t="str">
        <f t="shared" si="17"/>
        <v>State Bank of India</v>
      </c>
      <c r="C338">
        <v>1733</v>
      </c>
      <c r="D338">
        <v>0</v>
      </c>
      <c r="E338">
        <v>5100</v>
      </c>
      <c r="F338" s="2">
        <v>1924331.61</v>
      </c>
      <c r="G338" s="2">
        <v>1646252.51</v>
      </c>
      <c r="H338" s="2">
        <v>48995</v>
      </c>
      <c r="I338" s="2">
        <v>1779660.61</v>
      </c>
      <c r="J338" s="2">
        <v>140857</v>
      </c>
      <c r="K338" s="3">
        <v>70428.5</v>
      </c>
      <c r="L338" s="3">
        <v>70428.5</v>
      </c>
      <c r="M338" s="3">
        <v>225427.20000000001</v>
      </c>
      <c r="N338" s="4" t="s">
        <v>92</v>
      </c>
      <c r="O338" s="3" t="str">
        <f t="shared" si="16"/>
        <v>Online</v>
      </c>
      <c r="P338" s="11">
        <v>10000000</v>
      </c>
      <c r="Q338" s="3">
        <v>6866900000</v>
      </c>
      <c r="R338" s="3">
        <v>4731700000</v>
      </c>
      <c r="S338" s="11">
        <v>15200000</v>
      </c>
    </row>
    <row r="339" spans="1:19" x14ac:dyDescent="0.35">
      <c r="A339" s="1" t="s">
        <v>66</v>
      </c>
      <c r="B339" s="1" t="str">
        <f t="shared" si="17"/>
        <v>State Bank of India</v>
      </c>
      <c r="C339">
        <v>7009</v>
      </c>
      <c r="D339">
        <v>0</v>
      </c>
      <c r="E339">
        <v>24802</v>
      </c>
      <c r="F339" s="2">
        <v>6500601.0999999996</v>
      </c>
      <c r="G339" s="2">
        <v>0</v>
      </c>
      <c r="H339" s="2">
        <v>6500601.0999999996</v>
      </c>
      <c r="I339" s="2">
        <v>5948046.0999999996</v>
      </c>
      <c r="J339" s="2">
        <v>552555</v>
      </c>
      <c r="K339" s="3">
        <v>276277.5</v>
      </c>
      <c r="L339" s="3">
        <v>276277.5</v>
      </c>
      <c r="M339" s="3">
        <v>0</v>
      </c>
      <c r="N339" s="4" t="s">
        <v>92</v>
      </c>
      <c r="O339" s="3" t="str">
        <f t="shared" si="16"/>
        <v>Offline - F&amp;B</v>
      </c>
      <c r="P339" s="11">
        <v>10000000</v>
      </c>
      <c r="Q339" s="3">
        <v>6866900000</v>
      </c>
      <c r="R339" s="3">
        <v>4731700000</v>
      </c>
      <c r="S339" s="11">
        <v>15200000</v>
      </c>
    </row>
    <row r="340" spans="1:19" x14ac:dyDescent="0.35">
      <c r="A340" s="1" t="s">
        <v>81</v>
      </c>
      <c r="B340" s="1" t="str">
        <f t="shared" si="17"/>
        <v>Scapia</v>
      </c>
      <c r="C340">
        <v>165</v>
      </c>
      <c r="D340">
        <v>165</v>
      </c>
      <c r="E340">
        <v>410</v>
      </c>
      <c r="F340" s="2">
        <v>148529.38</v>
      </c>
      <c r="G340" s="2">
        <v>128634.64</v>
      </c>
      <c r="H340" s="2">
        <v>1970</v>
      </c>
      <c r="I340" s="2">
        <v>131653.38</v>
      </c>
      <c r="J340" s="2">
        <v>16500</v>
      </c>
      <c r="K340" s="3">
        <v>16500</v>
      </c>
      <c r="L340" s="3">
        <v>0</v>
      </c>
      <c r="M340" s="3">
        <v>17676.88</v>
      </c>
      <c r="N340" s="4" t="s">
        <v>92</v>
      </c>
      <c r="O340" s="3" t="str">
        <f t="shared" si="16"/>
        <v>Online</v>
      </c>
      <c r="P340" s="11">
        <v>10000000</v>
      </c>
      <c r="Q340" s="3">
        <v>6866900000</v>
      </c>
      <c r="R340" s="3">
        <v>4731700000</v>
      </c>
      <c r="S340" s="11">
        <v>15200000</v>
      </c>
    </row>
    <row r="341" spans="1:19" x14ac:dyDescent="0.35">
      <c r="A341" s="1" t="s">
        <v>40</v>
      </c>
      <c r="B341" s="1" t="s">
        <v>99</v>
      </c>
      <c r="C341">
        <v>18</v>
      </c>
      <c r="D341">
        <v>18</v>
      </c>
      <c r="E341">
        <v>39</v>
      </c>
      <c r="F341" s="2">
        <v>11641.56</v>
      </c>
      <c r="G341" s="2">
        <v>11641.56</v>
      </c>
      <c r="H341" s="2">
        <v>0</v>
      </c>
      <c r="I341" s="2">
        <v>8050.78</v>
      </c>
      <c r="J341" s="2">
        <v>3590.78</v>
      </c>
      <c r="K341" s="3">
        <v>3590.78</v>
      </c>
      <c r="L341" s="3">
        <v>0</v>
      </c>
      <c r="M341" s="3">
        <v>0</v>
      </c>
      <c r="N341" s="4" t="s">
        <v>92</v>
      </c>
      <c r="O341" s="3" t="str">
        <f t="shared" si="16"/>
        <v>Offline - Box Office</v>
      </c>
      <c r="P341" s="11">
        <v>10000000</v>
      </c>
      <c r="Q341" s="3">
        <v>6866900000</v>
      </c>
      <c r="R341" s="3">
        <v>4731700000</v>
      </c>
      <c r="S341" s="11">
        <v>15200000</v>
      </c>
    </row>
    <row r="342" spans="1:19" x14ac:dyDescent="0.35">
      <c r="A342" s="1" t="s">
        <v>41</v>
      </c>
      <c r="B342" s="1" t="s">
        <v>99</v>
      </c>
      <c r="C342">
        <v>128</v>
      </c>
      <c r="D342">
        <v>128</v>
      </c>
      <c r="E342">
        <v>271</v>
      </c>
      <c r="F342" s="2">
        <v>89174.79</v>
      </c>
      <c r="G342" s="2">
        <v>77713.789999999994</v>
      </c>
      <c r="H342" s="2">
        <v>540</v>
      </c>
      <c r="I342" s="2">
        <v>63611.040000000001</v>
      </c>
      <c r="J342" s="2">
        <v>25321.75</v>
      </c>
      <c r="K342" s="3">
        <v>25321.75</v>
      </c>
      <c r="L342" s="3">
        <v>0</v>
      </c>
      <c r="M342" s="3">
        <v>10679</v>
      </c>
      <c r="N342" s="4" t="s">
        <v>92</v>
      </c>
      <c r="O342" s="3" t="str">
        <f t="shared" si="16"/>
        <v>Online</v>
      </c>
      <c r="P342" s="11">
        <v>10000000</v>
      </c>
      <c r="Q342" s="3">
        <v>6866900000</v>
      </c>
      <c r="R342" s="3">
        <v>4731700000</v>
      </c>
      <c r="S342" s="11">
        <v>15200000</v>
      </c>
    </row>
    <row r="343" spans="1:19" x14ac:dyDescent="0.35">
      <c r="A343" s="1" t="s">
        <v>91</v>
      </c>
      <c r="B343" s="1" t="str">
        <f t="shared" ref="B343:B406" si="18">IF(ISNUMBER(SEARCH("AXIS",A343)),"Axis Bank",
IF(ISNUMBER(SEARCH("HDFC",A343)),"HDFC Bank",
IF(ISNUMBER(SEARCH("ICICI",A343)),"ICICI Bank",
IF(ISNUMBER(SEARCH("AU",A343)),"AU Bank",
IF(ISNUMBER(SEARCH("KOTAK",A343)),"Kotak Mahindra Bank",
IF(ISNUMBER(SEARCH("SBI",A343)),"State Bank of India",
IF(ISNUMBER(SEARCH("HSBC",A343)),"HSBC",
IF(ISNUMBER(SEARCH("DBS",A343)),"DBS Bank",
IF(ISNUMBER(SEARCH("SCAPIA",A343)),"Scapia",
IF(ISNUMBER(SEARCH("STANDARD CHARTERED",A343)),"Standard Chartered Bank",
IF(ISNUMBER(SEARCH("IDBI",A343)),"IDBI Bank",
IF(ISNUMBER(SEARCH("J&amp;K",A343)),"J&amp;K Bank",
IF(ISNUMBER(SEARCH("JAMMU",A343)),"J&amp;K Bank",
IF(ISNUMBER(SEARCH("FEDERAL",A343)),"Federal Bank",
IF(ISNUMBER(SEARCH("BOBCARD",A343)),"BOB Card",
IF(ISNUMBER(SEARCH("BANK OF BARODA",A343)),"BOB Card",
IF(ISNUMBER(SEARCH("AMEX",A343)),"American Express",
IF(ISNUMBER(SEARCH("PLATINUM",A343)),"American Express",
IF(ISNUMBER(SEARCH("CENTURION",A343)),"American Express",
IF(ISNUMBER(SEARCH("VISA",A343)),"Visa",
IF(ISNUMBER(SEARCH("MASTERCARD",A343)),"Mastercard",
"")))))))))))))))))))))</f>
        <v>American Express</v>
      </c>
      <c r="C343">
        <v>274</v>
      </c>
      <c r="D343">
        <v>274</v>
      </c>
      <c r="E343">
        <v>769</v>
      </c>
      <c r="F343" s="2">
        <v>345365.36</v>
      </c>
      <c r="G343" s="2">
        <v>345155.36</v>
      </c>
      <c r="H343" s="2">
        <v>210</v>
      </c>
      <c r="I343" s="2">
        <v>241435.15</v>
      </c>
      <c r="J343" s="2">
        <v>103930.21</v>
      </c>
      <c r="K343" s="3">
        <v>51965.14</v>
      </c>
      <c r="L343" s="3">
        <v>51965.14</v>
      </c>
      <c r="M343" s="3">
        <v>0</v>
      </c>
      <c r="N343" s="4" t="s">
        <v>100</v>
      </c>
      <c r="O343" s="3" t="str">
        <f t="shared" si="16"/>
        <v>Offline - Box Office</v>
      </c>
      <c r="P343" s="11">
        <v>6836000</v>
      </c>
      <c r="Q343" s="3">
        <v>3840400000</v>
      </c>
      <c r="R343" s="3">
        <v>2556600000</v>
      </c>
      <c r="S343" s="11">
        <v>10300000</v>
      </c>
    </row>
    <row r="344" spans="1:19" x14ac:dyDescent="0.35">
      <c r="A344" s="1" t="s">
        <v>93</v>
      </c>
      <c r="B344" s="1" t="str">
        <f t="shared" si="18"/>
        <v>American Express</v>
      </c>
      <c r="C344">
        <v>939</v>
      </c>
      <c r="D344">
        <v>939</v>
      </c>
      <c r="E344">
        <v>2510</v>
      </c>
      <c r="F344" s="2">
        <v>1302755.18</v>
      </c>
      <c r="G344" s="2">
        <v>1145873.3</v>
      </c>
      <c r="H344" s="2">
        <v>15720</v>
      </c>
      <c r="I344" s="2">
        <v>944635.11</v>
      </c>
      <c r="J344" s="2">
        <v>355220.07</v>
      </c>
      <c r="K344" s="3">
        <v>177610.23</v>
      </c>
      <c r="L344" s="3">
        <v>177610.23</v>
      </c>
      <c r="M344" s="3">
        <v>138261.88</v>
      </c>
      <c r="N344" s="4" t="s">
        <v>100</v>
      </c>
      <c r="O344" s="3" t="str">
        <f t="shared" si="16"/>
        <v>Online</v>
      </c>
      <c r="P344" s="11">
        <v>6836000</v>
      </c>
      <c r="Q344" s="3">
        <v>3840400000</v>
      </c>
      <c r="R344" s="3">
        <v>2556600000</v>
      </c>
      <c r="S344" s="11">
        <v>10300000</v>
      </c>
    </row>
    <row r="345" spans="1:19" x14ac:dyDescent="0.35">
      <c r="A345" s="1" t="s">
        <v>19</v>
      </c>
      <c r="B345" s="1" t="str">
        <f t="shared" si="18"/>
        <v>AU Bank</v>
      </c>
      <c r="C345">
        <v>214</v>
      </c>
      <c r="D345">
        <v>0</v>
      </c>
      <c r="E345">
        <v>615</v>
      </c>
      <c r="F345" s="2">
        <v>228208.8</v>
      </c>
      <c r="G345" s="2">
        <v>195131.78</v>
      </c>
      <c r="H345" s="2">
        <v>6200</v>
      </c>
      <c r="I345" s="2">
        <v>206236.79999999999</v>
      </c>
      <c r="J345" s="2">
        <v>21400</v>
      </c>
      <c r="K345" s="3">
        <v>21400</v>
      </c>
      <c r="L345" s="3">
        <v>0</v>
      </c>
      <c r="M345" s="3">
        <v>26305.02</v>
      </c>
      <c r="N345" s="4" t="s">
        <v>100</v>
      </c>
      <c r="O345" s="3" t="str">
        <f t="shared" si="16"/>
        <v>Online</v>
      </c>
      <c r="P345" s="11">
        <v>6836000</v>
      </c>
      <c r="Q345" s="3">
        <v>3840400000</v>
      </c>
      <c r="R345" s="3">
        <v>2556600000</v>
      </c>
      <c r="S345" s="11">
        <v>10300000</v>
      </c>
    </row>
    <row r="346" spans="1:19" x14ac:dyDescent="0.35">
      <c r="A346" s="1" t="s">
        <v>21</v>
      </c>
      <c r="B346" s="1" t="str">
        <f t="shared" si="18"/>
        <v>AU Bank</v>
      </c>
      <c r="C346">
        <v>89</v>
      </c>
      <c r="D346">
        <v>0</v>
      </c>
      <c r="E346">
        <v>107</v>
      </c>
      <c r="F346" s="2">
        <v>49071.38</v>
      </c>
      <c r="G346" s="2">
        <v>43792</v>
      </c>
      <c r="H346" s="2">
        <v>4680</v>
      </c>
      <c r="I346" s="2">
        <v>40151.379999999997</v>
      </c>
      <c r="J346" s="2">
        <v>8900</v>
      </c>
      <c r="K346" s="3">
        <v>6230</v>
      </c>
      <c r="L346" s="3">
        <v>2670</v>
      </c>
      <c r="M346" s="3">
        <v>579.38</v>
      </c>
      <c r="N346" s="4" t="s">
        <v>100</v>
      </c>
      <c r="O346" s="3" t="str">
        <f t="shared" si="16"/>
        <v>Online</v>
      </c>
      <c r="P346" s="11">
        <v>6836000</v>
      </c>
      <c r="Q346" s="3">
        <v>3840400000</v>
      </c>
      <c r="R346" s="3">
        <v>2556600000</v>
      </c>
      <c r="S346" s="11">
        <v>10300000</v>
      </c>
    </row>
    <row r="347" spans="1:19" x14ac:dyDescent="0.35">
      <c r="A347" s="1" t="s">
        <v>22</v>
      </c>
      <c r="B347" s="1" t="str">
        <f t="shared" si="18"/>
        <v>AU Bank</v>
      </c>
      <c r="C347">
        <v>694</v>
      </c>
      <c r="D347">
        <v>0</v>
      </c>
      <c r="E347">
        <v>1647</v>
      </c>
      <c r="F347" s="2">
        <v>489952.76</v>
      </c>
      <c r="G347" s="2">
        <v>0</v>
      </c>
      <c r="H347" s="2">
        <v>489952.76</v>
      </c>
      <c r="I347" s="2">
        <v>420552.76</v>
      </c>
      <c r="J347" s="2">
        <v>69400</v>
      </c>
      <c r="K347" s="3">
        <v>48580</v>
      </c>
      <c r="L347" s="3">
        <v>20820</v>
      </c>
      <c r="M347" s="3">
        <v>0</v>
      </c>
      <c r="N347" s="4" t="s">
        <v>100</v>
      </c>
      <c r="O347" s="3" t="str">
        <f t="shared" si="16"/>
        <v>Offline - F&amp;B</v>
      </c>
      <c r="P347" s="11">
        <v>6836000</v>
      </c>
      <c r="Q347" s="3">
        <v>3840400000</v>
      </c>
      <c r="R347" s="3">
        <v>2556600000</v>
      </c>
      <c r="S347" s="11">
        <v>10300000</v>
      </c>
    </row>
    <row r="348" spans="1:19" x14ac:dyDescent="0.35">
      <c r="A348" s="1" t="s">
        <v>43</v>
      </c>
      <c r="B348" s="1" t="str">
        <f t="shared" si="18"/>
        <v>Axis Bank</v>
      </c>
      <c r="C348">
        <v>13</v>
      </c>
      <c r="D348">
        <v>13</v>
      </c>
      <c r="E348">
        <v>42</v>
      </c>
      <c r="F348" s="2">
        <v>10750.06</v>
      </c>
      <c r="G348" s="2">
        <v>10750.06</v>
      </c>
      <c r="H348" s="2">
        <v>0</v>
      </c>
      <c r="I348" s="2">
        <v>8345.5300000000007</v>
      </c>
      <c r="J348" s="2">
        <v>2404.5300000000002</v>
      </c>
      <c r="K348" s="3">
        <v>2115.9899999999998</v>
      </c>
      <c r="L348" s="3">
        <v>288.54000000000002</v>
      </c>
      <c r="M348" s="3">
        <v>0</v>
      </c>
      <c r="N348" s="4" t="s">
        <v>100</v>
      </c>
      <c r="O348" s="3" t="str">
        <f t="shared" si="16"/>
        <v>Offline - Box Office</v>
      </c>
      <c r="P348" s="11">
        <v>6836000</v>
      </c>
      <c r="Q348" s="3">
        <v>3840400000</v>
      </c>
      <c r="R348" s="3">
        <v>2556600000</v>
      </c>
      <c r="S348" s="11">
        <v>10300000</v>
      </c>
    </row>
    <row r="349" spans="1:19" x14ac:dyDescent="0.35">
      <c r="A349" s="1" t="s">
        <v>23</v>
      </c>
      <c r="B349" s="1" t="str">
        <f t="shared" si="18"/>
        <v>Axis Bank</v>
      </c>
      <c r="C349">
        <v>22</v>
      </c>
      <c r="D349">
        <v>22</v>
      </c>
      <c r="E349">
        <v>55</v>
      </c>
      <c r="F349" s="2">
        <v>16126.18</v>
      </c>
      <c r="G349" s="2">
        <v>14035.76</v>
      </c>
      <c r="H349" s="2">
        <v>0</v>
      </c>
      <c r="I349" s="2">
        <v>11869.29</v>
      </c>
      <c r="J349" s="2">
        <v>4194.8900000000003</v>
      </c>
      <c r="K349" s="3">
        <v>3565.66</v>
      </c>
      <c r="L349" s="3">
        <v>629.23</v>
      </c>
      <c r="M349" s="3">
        <v>2028.42</v>
      </c>
      <c r="N349" s="4" t="s">
        <v>100</v>
      </c>
      <c r="O349" s="3" t="str">
        <f t="shared" si="16"/>
        <v>Online</v>
      </c>
      <c r="P349" s="11">
        <v>6836000</v>
      </c>
      <c r="Q349" s="3">
        <v>3840400000</v>
      </c>
      <c r="R349" s="3">
        <v>2556600000</v>
      </c>
      <c r="S349" s="11">
        <v>10300000</v>
      </c>
    </row>
    <row r="350" spans="1:19" x14ac:dyDescent="0.35">
      <c r="A350" s="1" t="s">
        <v>44</v>
      </c>
      <c r="B350" s="1" t="str">
        <f t="shared" si="18"/>
        <v>Axis Bank</v>
      </c>
      <c r="C350">
        <v>260</v>
      </c>
      <c r="D350">
        <v>260</v>
      </c>
      <c r="E350">
        <v>701</v>
      </c>
      <c r="F350" s="2">
        <v>177982.46</v>
      </c>
      <c r="G350" s="2">
        <v>177982.46</v>
      </c>
      <c r="H350" s="2">
        <v>0</v>
      </c>
      <c r="I350" s="2">
        <v>128041.62</v>
      </c>
      <c r="J350" s="2">
        <v>49940.84</v>
      </c>
      <c r="K350" s="3">
        <v>43947.95</v>
      </c>
      <c r="L350" s="3">
        <v>5992.89</v>
      </c>
      <c r="M350" s="3">
        <v>0</v>
      </c>
      <c r="N350" s="4" t="s">
        <v>100</v>
      </c>
      <c r="O350" s="3" t="str">
        <f t="shared" si="16"/>
        <v>Offline - Box Office</v>
      </c>
      <c r="P350" s="11">
        <v>6836000</v>
      </c>
      <c r="Q350" s="3">
        <v>3840400000</v>
      </c>
      <c r="R350" s="3">
        <v>2556600000</v>
      </c>
      <c r="S350" s="11">
        <v>10300000</v>
      </c>
    </row>
    <row r="351" spans="1:19" x14ac:dyDescent="0.35">
      <c r="A351" s="1" t="s">
        <v>24</v>
      </c>
      <c r="B351" s="1" t="str">
        <f t="shared" si="18"/>
        <v>Axis Bank</v>
      </c>
      <c r="C351">
        <v>763</v>
      </c>
      <c r="D351">
        <v>763</v>
      </c>
      <c r="E351">
        <v>1804</v>
      </c>
      <c r="F351" s="2">
        <v>490585.1</v>
      </c>
      <c r="G351" s="2">
        <v>427987.08</v>
      </c>
      <c r="H351" s="2">
        <v>2080</v>
      </c>
      <c r="I351" s="2">
        <v>345191.88</v>
      </c>
      <c r="J351" s="2">
        <v>144013.22</v>
      </c>
      <c r="K351" s="3">
        <v>122411.17</v>
      </c>
      <c r="L351" s="3">
        <v>21602.05</v>
      </c>
      <c r="M351" s="3">
        <v>59138.02</v>
      </c>
      <c r="N351" s="4" t="s">
        <v>100</v>
      </c>
      <c r="O351" s="3" t="str">
        <f t="shared" si="16"/>
        <v>Online</v>
      </c>
      <c r="P351" s="11">
        <v>6836000</v>
      </c>
      <c r="Q351" s="3">
        <v>3840400000</v>
      </c>
      <c r="R351" s="3">
        <v>2556600000</v>
      </c>
      <c r="S351" s="11">
        <v>10300000</v>
      </c>
    </row>
    <row r="352" spans="1:19" x14ac:dyDescent="0.35">
      <c r="A352" s="1" t="s">
        <v>54</v>
      </c>
      <c r="B352" s="1" t="str">
        <f t="shared" si="18"/>
        <v>BOB Card</v>
      </c>
      <c r="C352">
        <v>28</v>
      </c>
      <c r="D352">
        <v>0</v>
      </c>
      <c r="E352">
        <v>43</v>
      </c>
      <c r="F352" s="2">
        <v>23722.400000000001</v>
      </c>
      <c r="G352" s="2">
        <v>22995</v>
      </c>
      <c r="H352" s="2">
        <v>690</v>
      </c>
      <c r="I352" s="2">
        <v>21375.4</v>
      </c>
      <c r="J352" s="2">
        <v>2345</v>
      </c>
      <c r="K352" s="3">
        <v>1641.5</v>
      </c>
      <c r="L352" s="3">
        <v>703.5</v>
      </c>
      <c r="M352" s="3">
        <v>35.4</v>
      </c>
      <c r="N352" s="4" t="s">
        <v>100</v>
      </c>
      <c r="O352" s="3" t="str">
        <f t="shared" si="16"/>
        <v>Online</v>
      </c>
      <c r="P352" s="11">
        <v>6836000</v>
      </c>
      <c r="Q352" s="3">
        <v>3840400000</v>
      </c>
      <c r="R352" s="3">
        <v>2556600000</v>
      </c>
      <c r="S352" s="11">
        <v>10300000</v>
      </c>
    </row>
    <row r="353" spans="1:19" x14ac:dyDescent="0.35">
      <c r="A353" s="1" t="s">
        <v>55</v>
      </c>
      <c r="B353" s="1" t="str">
        <f t="shared" si="18"/>
        <v>BOB Card</v>
      </c>
      <c r="C353">
        <v>553</v>
      </c>
      <c r="D353">
        <v>0</v>
      </c>
      <c r="E353">
        <v>1731</v>
      </c>
      <c r="F353" s="2">
        <v>482872.43</v>
      </c>
      <c r="G353" s="2">
        <v>0</v>
      </c>
      <c r="H353" s="2">
        <v>482872.43</v>
      </c>
      <c r="I353" s="2">
        <v>435161.43</v>
      </c>
      <c r="J353" s="2">
        <v>47711</v>
      </c>
      <c r="K353" s="3">
        <v>33397.699999999997</v>
      </c>
      <c r="L353" s="3">
        <v>14313.3</v>
      </c>
      <c r="M353" s="3">
        <v>0</v>
      </c>
      <c r="N353" s="4" t="s">
        <v>100</v>
      </c>
      <c r="O353" s="3" t="str">
        <f t="shared" si="16"/>
        <v>Offline - F&amp;B</v>
      </c>
      <c r="P353" s="11">
        <v>6836000</v>
      </c>
      <c r="Q353" s="3">
        <v>3840400000</v>
      </c>
      <c r="R353" s="3">
        <v>2556600000</v>
      </c>
      <c r="S353" s="11">
        <v>10300000</v>
      </c>
    </row>
    <row r="354" spans="1:19" x14ac:dyDescent="0.35">
      <c r="A354" s="1" t="s">
        <v>72</v>
      </c>
      <c r="B354" s="1" t="str">
        <f t="shared" si="18"/>
        <v>BOB Card</v>
      </c>
      <c r="C354">
        <v>192</v>
      </c>
      <c r="D354">
        <v>0</v>
      </c>
      <c r="E354">
        <v>566</v>
      </c>
      <c r="F354" s="2">
        <v>140924.98000000001</v>
      </c>
      <c r="G354" s="2">
        <v>140924.98000000001</v>
      </c>
      <c r="H354" s="2">
        <v>0</v>
      </c>
      <c r="I354" s="2">
        <v>115984.98</v>
      </c>
      <c r="J354" s="2">
        <v>24940</v>
      </c>
      <c r="K354" s="3">
        <v>21947.200000000001</v>
      </c>
      <c r="L354" s="3">
        <v>2992.8</v>
      </c>
      <c r="M354" s="3">
        <v>0</v>
      </c>
      <c r="N354" s="4" t="s">
        <v>100</v>
      </c>
      <c r="O354" s="3" t="str">
        <f t="shared" si="16"/>
        <v>Offline - Box Office</v>
      </c>
      <c r="P354" s="11">
        <v>6836000</v>
      </c>
      <c r="Q354" s="3">
        <v>3840400000</v>
      </c>
      <c r="R354" s="3">
        <v>2556600000</v>
      </c>
      <c r="S354" s="11">
        <v>10300000</v>
      </c>
    </row>
    <row r="355" spans="1:19" x14ac:dyDescent="0.35">
      <c r="A355" s="1" t="s">
        <v>56</v>
      </c>
      <c r="B355" s="1" t="str">
        <f t="shared" si="18"/>
        <v>BOB Card</v>
      </c>
      <c r="C355">
        <v>562</v>
      </c>
      <c r="D355">
        <v>0</v>
      </c>
      <c r="E355">
        <v>1611</v>
      </c>
      <c r="F355" s="2">
        <v>470061.93</v>
      </c>
      <c r="G355" s="2">
        <v>405100.39</v>
      </c>
      <c r="H355" s="2">
        <v>5757</v>
      </c>
      <c r="I355" s="2">
        <v>396362.93</v>
      </c>
      <c r="J355" s="2">
        <v>72443</v>
      </c>
      <c r="K355" s="3">
        <v>63749.84</v>
      </c>
      <c r="L355" s="3">
        <v>8693.16</v>
      </c>
      <c r="M355" s="3">
        <v>57948.54</v>
      </c>
      <c r="N355" s="4" t="s">
        <v>100</v>
      </c>
      <c r="O355" s="3" t="str">
        <f t="shared" si="16"/>
        <v>Online</v>
      </c>
      <c r="P355" s="11">
        <v>6836000</v>
      </c>
      <c r="Q355" s="3">
        <v>3840400000</v>
      </c>
      <c r="R355" s="3">
        <v>2556600000</v>
      </c>
      <c r="S355" s="11">
        <v>10300000</v>
      </c>
    </row>
    <row r="356" spans="1:19" x14ac:dyDescent="0.35">
      <c r="A356" s="1" t="s">
        <v>94</v>
      </c>
      <c r="B356" s="1" t="str">
        <f t="shared" si="18"/>
        <v>DBS Bank</v>
      </c>
      <c r="C356">
        <v>3</v>
      </c>
      <c r="D356">
        <v>0</v>
      </c>
      <c r="E356">
        <v>9</v>
      </c>
      <c r="F356" s="2">
        <v>3717</v>
      </c>
      <c r="G356" s="2">
        <v>2580</v>
      </c>
      <c r="H356" s="2">
        <v>960</v>
      </c>
      <c r="I356" s="2">
        <v>3267</v>
      </c>
      <c r="J356" s="2">
        <v>450</v>
      </c>
      <c r="K356" s="3">
        <v>450</v>
      </c>
      <c r="L356" s="3">
        <v>0</v>
      </c>
      <c r="M356" s="3">
        <v>177</v>
      </c>
      <c r="N356" s="4" t="s">
        <v>100</v>
      </c>
      <c r="O356" s="3" t="str">
        <f t="shared" si="16"/>
        <v>Online</v>
      </c>
      <c r="P356" s="11">
        <v>6836000</v>
      </c>
      <c r="Q356" s="3">
        <v>3840400000</v>
      </c>
      <c r="R356" s="3">
        <v>2556600000</v>
      </c>
      <c r="S356" s="11">
        <v>10300000</v>
      </c>
    </row>
    <row r="357" spans="1:19" x14ac:dyDescent="0.35">
      <c r="A357" s="1" t="s">
        <v>95</v>
      </c>
      <c r="B357" s="1" t="str">
        <f t="shared" si="18"/>
        <v>DBS Bank</v>
      </c>
      <c r="C357">
        <v>120</v>
      </c>
      <c r="D357">
        <v>0</v>
      </c>
      <c r="E357">
        <v>485</v>
      </c>
      <c r="F357" s="2">
        <v>131359.1</v>
      </c>
      <c r="G357" s="2">
        <v>0</v>
      </c>
      <c r="H357" s="2">
        <v>131359.1</v>
      </c>
      <c r="I357" s="2">
        <v>113359.1</v>
      </c>
      <c r="J357" s="2">
        <v>18000</v>
      </c>
      <c r="K357" s="3">
        <v>18000</v>
      </c>
      <c r="L357" s="3">
        <v>0</v>
      </c>
      <c r="M357" s="3">
        <v>0</v>
      </c>
      <c r="N357" s="4" t="s">
        <v>100</v>
      </c>
      <c r="O357" s="3" t="str">
        <f t="shared" si="16"/>
        <v>Offline - F&amp;B</v>
      </c>
      <c r="P357" s="11">
        <v>6836000</v>
      </c>
      <c r="Q357" s="3">
        <v>3840400000</v>
      </c>
      <c r="R357" s="3">
        <v>2556600000</v>
      </c>
      <c r="S357" s="11">
        <v>10300000</v>
      </c>
    </row>
    <row r="358" spans="1:19" x14ac:dyDescent="0.35">
      <c r="A358" s="1" t="s">
        <v>96</v>
      </c>
      <c r="B358" s="1" t="str">
        <f t="shared" si="18"/>
        <v>DBS Bank</v>
      </c>
      <c r="C358">
        <v>74</v>
      </c>
      <c r="D358">
        <v>74</v>
      </c>
      <c r="E358">
        <v>211</v>
      </c>
      <c r="F358" s="2">
        <v>56811.66</v>
      </c>
      <c r="G358" s="2">
        <v>56811.66</v>
      </c>
      <c r="H358" s="2">
        <v>0</v>
      </c>
      <c r="I358" s="2">
        <v>40523.83</v>
      </c>
      <c r="J358" s="2">
        <v>16287.83</v>
      </c>
      <c r="K358" s="3">
        <v>16287.83</v>
      </c>
      <c r="L358" s="3">
        <v>0</v>
      </c>
      <c r="M358" s="3">
        <v>0</v>
      </c>
      <c r="N358" s="4" t="s">
        <v>100</v>
      </c>
      <c r="O358" s="3" t="str">
        <f t="shared" si="16"/>
        <v>Offline - Box Office</v>
      </c>
      <c r="P358" s="11">
        <v>6836000</v>
      </c>
      <c r="Q358" s="3">
        <v>3840400000</v>
      </c>
      <c r="R358" s="3">
        <v>2556600000</v>
      </c>
      <c r="S358" s="11">
        <v>10300000</v>
      </c>
    </row>
    <row r="359" spans="1:19" x14ac:dyDescent="0.35">
      <c r="A359" s="1" t="s">
        <v>97</v>
      </c>
      <c r="B359" s="1" t="str">
        <f t="shared" si="18"/>
        <v>DBS Bank</v>
      </c>
      <c r="C359">
        <v>96</v>
      </c>
      <c r="D359">
        <v>96</v>
      </c>
      <c r="E359">
        <v>250</v>
      </c>
      <c r="F359" s="2">
        <v>75173.3</v>
      </c>
      <c r="G359" s="2">
        <v>65475.88</v>
      </c>
      <c r="H359" s="2">
        <v>650</v>
      </c>
      <c r="I359" s="2">
        <v>54484.54</v>
      </c>
      <c r="J359" s="2">
        <v>20454.759999999998</v>
      </c>
      <c r="K359" s="3">
        <v>20454.759999999998</v>
      </c>
      <c r="L359" s="3">
        <v>0</v>
      </c>
      <c r="M359" s="3">
        <v>8813.42</v>
      </c>
      <c r="N359" s="4" t="s">
        <v>100</v>
      </c>
      <c r="O359" s="3" t="str">
        <f t="shared" si="16"/>
        <v>Online</v>
      </c>
      <c r="P359" s="11">
        <v>6836000</v>
      </c>
      <c r="Q359" s="3">
        <v>3840400000</v>
      </c>
      <c r="R359" s="3">
        <v>2556600000</v>
      </c>
      <c r="S359" s="11">
        <v>10300000</v>
      </c>
    </row>
    <row r="360" spans="1:19" x14ac:dyDescent="0.35">
      <c r="A360" s="1" t="s">
        <v>83</v>
      </c>
      <c r="B360" s="1" t="str">
        <f t="shared" si="18"/>
        <v>DBS Bank</v>
      </c>
      <c r="C360">
        <v>5</v>
      </c>
      <c r="D360">
        <v>0</v>
      </c>
      <c r="E360">
        <v>14</v>
      </c>
      <c r="F360" s="2">
        <v>5200</v>
      </c>
      <c r="G360" s="2">
        <v>5200</v>
      </c>
      <c r="H360" s="2">
        <v>0</v>
      </c>
      <c r="I360" s="2">
        <v>4450</v>
      </c>
      <c r="J360" s="2">
        <v>750</v>
      </c>
      <c r="K360" s="3">
        <v>750</v>
      </c>
      <c r="L360" s="3">
        <v>0</v>
      </c>
      <c r="M360" s="3">
        <v>0</v>
      </c>
      <c r="N360" s="4" t="s">
        <v>100</v>
      </c>
      <c r="O360" s="3" t="str">
        <f t="shared" si="16"/>
        <v>Online</v>
      </c>
      <c r="P360" s="11">
        <v>6836000</v>
      </c>
      <c r="Q360" s="3">
        <v>3840400000</v>
      </c>
      <c r="R360" s="3">
        <v>2556600000</v>
      </c>
      <c r="S360" s="11">
        <v>10300000</v>
      </c>
    </row>
    <row r="361" spans="1:19" x14ac:dyDescent="0.35">
      <c r="A361" s="1" t="s">
        <v>84</v>
      </c>
      <c r="B361" s="1" t="str">
        <f t="shared" si="18"/>
        <v>DBS Bank</v>
      </c>
      <c r="C361">
        <v>64</v>
      </c>
      <c r="D361">
        <v>0</v>
      </c>
      <c r="E361">
        <v>339</v>
      </c>
      <c r="F361" s="2">
        <v>80977.05</v>
      </c>
      <c r="G361" s="2">
        <v>0</v>
      </c>
      <c r="H361" s="2">
        <v>80977.05</v>
      </c>
      <c r="I361" s="2">
        <v>71377.05</v>
      </c>
      <c r="J361" s="2">
        <v>9600</v>
      </c>
      <c r="K361" s="3">
        <v>9600</v>
      </c>
      <c r="L361" s="3">
        <v>0</v>
      </c>
      <c r="M361" s="3">
        <v>0</v>
      </c>
      <c r="N361" s="4" t="s">
        <v>100</v>
      </c>
      <c r="O361" s="3" t="str">
        <f t="shared" si="16"/>
        <v>Offline - F&amp;B</v>
      </c>
      <c r="P361" s="11">
        <v>6836000</v>
      </c>
      <c r="Q361" s="3">
        <v>3840400000</v>
      </c>
      <c r="R361" s="3">
        <v>2556600000</v>
      </c>
      <c r="S361" s="11">
        <v>10300000</v>
      </c>
    </row>
    <row r="362" spans="1:19" x14ac:dyDescent="0.35">
      <c r="A362" s="1" t="s">
        <v>85</v>
      </c>
      <c r="B362" s="1" t="str">
        <f t="shared" si="18"/>
        <v>DBS Bank</v>
      </c>
      <c r="C362">
        <v>79</v>
      </c>
      <c r="D362">
        <v>79</v>
      </c>
      <c r="E362">
        <v>206</v>
      </c>
      <c r="F362" s="2">
        <v>54216.9</v>
      </c>
      <c r="G362" s="2">
        <v>54216.9</v>
      </c>
      <c r="H362" s="2">
        <v>0</v>
      </c>
      <c r="I362" s="2">
        <v>37425.379999999997</v>
      </c>
      <c r="J362" s="2">
        <v>16791.52</v>
      </c>
      <c r="K362" s="3">
        <v>16791.52</v>
      </c>
      <c r="L362" s="3">
        <v>0</v>
      </c>
      <c r="M362" s="3">
        <v>0</v>
      </c>
      <c r="N362" s="4" t="s">
        <v>100</v>
      </c>
      <c r="O362" s="3" t="str">
        <f t="shared" si="16"/>
        <v>Offline - Box Office</v>
      </c>
      <c r="P362" s="11">
        <v>6836000</v>
      </c>
      <c r="Q362" s="3">
        <v>3840400000</v>
      </c>
      <c r="R362" s="3">
        <v>2556600000</v>
      </c>
      <c r="S362" s="11">
        <v>10300000</v>
      </c>
    </row>
    <row r="363" spans="1:19" x14ac:dyDescent="0.35">
      <c r="A363" s="1" t="s">
        <v>86</v>
      </c>
      <c r="B363" s="1" t="str">
        <f t="shared" si="18"/>
        <v>DBS Bank</v>
      </c>
      <c r="C363">
        <v>318</v>
      </c>
      <c r="D363">
        <v>318</v>
      </c>
      <c r="E363">
        <v>758</v>
      </c>
      <c r="F363" s="2">
        <v>217961.41</v>
      </c>
      <c r="G363" s="2">
        <v>189063.65</v>
      </c>
      <c r="H363" s="2">
        <v>1610</v>
      </c>
      <c r="I363" s="2">
        <v>149170.19</v>
      </c>
      <c r="J363" s="2">
        <v>68289.22</v>
      </c>
      <c r="K363" s="3">
        <v>68289.22</v>
      </c>
      <c r="L363" s="3">
        <v>0</v>
      </c>
      <c r="M363" s="3">
        <v>26785.759999999998</v>
      </c>
      <c r="N363" s="4" t="s">
        <v>100</v>
      </c>
      <c r="O363" s="3" t="str">
        <f t="shared" si="16"/>
        <v>Online</v>
      </c>
      <c r="P363" s="11">
        <v>6836000</v>
      </c>
      <c r="Q363" s="3">
        <v>3840400000</v>
      </c>
      <c r="R363" s="3">
        <v>2556600000</v>
      </c>
      <c r="S363" s="11">
        <v>10300000</v>
      </c>
    </row>
    <row r="364" spans="1:19" x14ac:dyDescent="0.35">
      <c r="A364" s="1" t="s">
        <v>73</v>
      </c>
      <c r="B364" s="1" t="str">
        <f t="shared" si="18"/>
        <v>Federal Bank</v>
      </c>
      <c r="C364">
        <v>1139</v>
      </c>
      <c r="D364">
        <v>1139</v>
      </c>
      <c r="E364">
        <v>3230</v>
      </c>
      <c r="F364" s="2">
        <v>761081.34</v>
      </c>
      <c r="G364" s="2">
        <v>761081.34</v>
      </c>
      <c r="H364" s="2">
        <v>0</v>
      </c>
      <c r="I364" s="2">
        <v>647584.18000000005</v>
      </c>
      <c r="J364" s="2">
        <v>113497.16</v>
      </c>
      <c r="K364" s="3">
        <v>90797.71</v>
      </c>
      <c r="L364" s="3">
        <v>22699.45</v>
      </c>
      <c r="M364" s="3">
        <v>0</v>
      </c>
      <c r="N364" s="4" t="s">
        <v>100</v>
      </c>
      <c r="O364" s="3" t="str">
        <f t="shared" si="16"/>
        <v>Offline - Box Office</v>
      </c>
      <c r="P364" s="11">
        <v>6836000</v>
      </c>
      <c r="Q364" s="3">
        <v>3840400000</v>
      </c>
      <c r="R364" s="3">
        <v>2556600000</v>
      </c>
      <c r="S364" s="11">
        <v>10300000</v>
      </c>
    </row>
    <row r="365" spans="1:19" x14ac:dyDescent="0.35">
      <c r="A365" s="1" t="s">
        <v>74</v>
      </c>
      <c r="B365" s="1" t="str">
        <f t="shared" si="18"/>
        <v>Federal Bank</v>
      </c>
      <c r="C365">
        <v>545</v>
      </c>
      <c r="D365">
        <v>545</v>
      </c>
      <c r="E365">
        <v>1388</v>
      </c>
      <c r="F365" s="2">
        <v>368720.96</v>
      </c>
      <c r="G365" s="2">
        <v>310328.32000000001</v>
      </c>
      <c r="H365" s="2">
        <v>8510</v>
      </c>
      <c r="I365" s="2">
        <v>313826.21999999997</v>
      </c>
      <c r="J365" s="2">
        <v>53730.74</v>
      </c>
      <c r="K365" s="3">
        <v>42984.56</v>
      </c>
      <c r="L365" s="3">
        <v>10746.18</v>
      </c>
      <c r="M365" s="3">
        <v>48718.64</v>
      </c>
      <c r="N365" s="4" t="s">
        <v>100</v>
      </c>
      <c r="O365" s="3" t="str">
        <f t="shared" si="16"/>
        <v>Online</v>
      </c>
      <c r="P365" s="11">
        <v>6836000</v>
      </c>
      <c r="Q365" s="3">
        <v>3840400000</v>
      </c>
      <c r="R365" s="3">
        <v>2556600000</v>
      </c>
      <c r="S365" s="11">
        <v>10300000</v>
      </c>
    </row>
    <row r="366" spans="1:19" x14ac:dyDescent="0.35">
      <c r="A366" s="1" t="s">
        <v>27</v>
      </c>
      <c r="B366" s="1" t="str">
        <f t="shared" si="18"/>
        <v>Federal Bank</v>
      </c>
      <c r="C366">
        <v>67</v>
      </c>
      <c r="D366">
        <v>67</v>
      </c>
      <c r="E366">
        <v>196</v>
      </c>
      <c r="F366" s="2">
        <v>48396.85</v>
      </c>
      <c r="G366" s="2">
        <v>48396.85</v>
      </c>
      <c r="H366" s="2">
        <v>0</v>
      </c>
      <c r="I366" s="2">
        <v>41698.85</v>
      </c>
      <c r="J366" s="2">
        <v>6698</v>
      </c>
      <c r="K366" s="3">
        <v>6698</v>
      </c>
      <c r="L366" s="3">
        <v>0</v>
      </c>
      <c r="M366" s="3">
        <v>0</v>
      </c>
      <c r="N366" s="4" t="s">
        <v>100</v>
      </c>
      <c r="O366" s="3" t="str">
        <f t="shared" si="16"/>
        <v>Offline - Box Office</v>
      </c>
      <c r="P366" s="11">
        <v>6836000</v>
      </c>
      <c r="Q366" s="3">
        <v>3840400000</v>
      </c>
      <c r="R366" s="3">
        <v>2556600000</v>
      </c>
      <c r="S366" s="11">
        <v>10300000</v>
      </c>
    </row>
    <row r="367" spans="1:19" x14ac:dyDescent="0.35">
      <c r="A367" s="1" t="s">
        <v>28</v>
      </c>
      <c r="B367" s="1" t="str">
        <f t="shared" si="18"/>
        <v>Federal Bank</v>
      </c>
      <c r="C367">
        <v>51</v>
      </c>
      <c r="D367">
        <v>51</v>
      </c>
      <c r="E367">
        <v>127</v>
      </c>
      <c r="F367" s="2">
        <v>43657.63</v>
      </c>
      <c r="G367" s="2">
        <v>36780.410000000003</v>
      </c>
      <c r="H367" s="2">
        <v>1440</v>
      </c>
      <c r="I367" s="2">
        <v>38438.239999999998</v>
      </c>
      <c r="J367" s="2">
        <v>5063.3900000000003</v>
      </c>
      <c r="K367" s="3">
        <v>5063.3900000000003</v>
      </c>
      <c r="L367" s="3">
        <v>0</v>
      </c>
      <c r="M367" s="3">
        <v>5281.22</v>
      </c>
      <c r="N367" s="4" t="s">
        <v>100</v>
      </c>
      <c r="O367" s="3" t="str">
        <f t="shared" si="16"/>
        <v>Online</v>
      </c>
      <c r="P367" s="11">
        <v>6836000</v>
      </c>
      <c r="Q367" s="3">
        <v>3840400000</v>
      </c>
      <c r="R367" s="3">
        <v>2556600000</v>
      </c>
      <c r="S367" s="11">
        <v>10300000</v>
      </c>
    </row>
    <row r="368" spans="1:19" x14ac:dyDescent="0.35">
      <c r="A368" s="1" t="s">
        <v>29</v>
      </c>
      <c r="B368" s="1" t="str">
        <f t="shared" si="18"/>
        <v>Federal Bank</v>
      </c>
      <c r="C368">
        <v>272</v>
      </c>
      <c r="D368">
        <v>272</v>
      </c>
      <c r="E368">
        <v>787</v>
      </c>
      <c r="F368" s="2">
        <v>177429.37</v>
      </c>
      <c r="G368" s="2">
        <v>177429.37</v>
      </c>
      <c r="H368" s="2">
        <v>0</v>
      </c>
      <c r="I368" s="2">
        <v>150349.54999999999</v>
      </c>
      <c r="J368" s="2">
        <v>27079.82</v>
      </c>
      <c r="K368" s="3">
        <v>27079.82</v>
      </c>
      <c r="L368" s="3">
        <v>0</v>
      </c>
      <c r="M368" s="3">
        <v>0</v>
      </c>
      <c r="N368" s="4" t="s">
        <v>100</v>
      </c>
      <c r="O368" s="3" t="str">
        <f t="shared" si="16"/>
        <v>Offline - Box Office</v>
      </c>
      <c r="P368" s="11">
        <v>6836000</v>
      </c>
      <c r="Q368" s="3">
        <v>3840400000</v>
      </c>
      <c r="R368" s="3">
        <v>2556600000</v>
      </c>
      <c r="S368" s="11">
        <v>10300000</v>
      </c>
    </row>
    <row r="369" spans="1:19" x14ac:dyDescent="0.35">
      <c r="A369" s="1" t="s">
        <v>30</v>
      </c>
      <c r="B369" s="1" t="str">
        <f t="shared" si="18"/>
        <v>Federal Bank</v>
      </c>
      <c r="C369">
        <v>115</v>
      </c>
      <c r="D369">
        <v>115</v>
      </c>
      <c r="E369">
        <v>322</v>
      </c>
      <c r="F369" s="2">
        <v>83870.259999999995</v>
      </c>
      <c r="G369" s="2">
        <v>72539.7</v>
      </c>
      <c r="H369" s="2">
        <v>0</v>
      </c>
      <c r="I369" s="2">
        <v>72200.929999999993</v>
      </c>
      <c r="J369" s="2">
        <v>11417.33</v>
      </c>
      <c r="K369" s="3">
        <v>11417.33</v>
      </c>
      <c r="L369" s="3">
        <v>0</v>
      </c>
      <c r="M369" s="3">
        <v>11078.56</v>
      </c>
      <c r="N369" s="4" t="s">
        <v>100</v>
      </c>
      <c r="O369" s="3" t="str">
        <f t="shared" si="16"/>
        <v>Online</v>
      </c>
      <c r="P369" s="11">
        <v>6836000</v>
      </c>
      <c r="Q369" s="3">
        <v>3840400000</v>
      </c>
      <c r="R369" s="3">
        <v>2556600000</v>
      </c>
      <c r="S369" s="11">
        <v>10300000</v>
      </c>
    </row>
    <row r="370" spans="1:19" x14ac:dyDescent="0.35">
      <c r="A370" s="1" t="s">
        <v>31</v>
      </c>
      <c r="B370" s="1" t="str">
        <f t="shared" si="18"/>
        <v>HSBC</v>
      </c>
      <c r="C370">
        <v>6</v>
      </c>
      <c r="D370">
        <v>0</v>
      </c>
      <c r="E370">
        <v>17</v>
      </c>
      <c r="F370" s="2">
        <v>14933.22</v>
      </c>
      <c r="G370" s="2">
        <v>13110</v>
      </c>
      <c r="H370" s="2">
        <v>294</v>
      </c>
      <c r="I370" s="2">
        <v>13602.22</v>
      </c>
      <c r="J370" s="2">
        <v>1311</v>
      </c>
      <c r="K370" s="3">
        <v>655.5</v>
      </c>
      <c r="L370" s="3">
        <v>655.5</v>
      </c>
      <c r="M370" s="3">
        <v>1509.22</v>
      </c>
      <c r="N370" s="4" t="s">
        <v>100</v>
      </c>
      <c r="O370" s="3" t="str">
        <f t="shared" si="16"/>
        <v>Online</v>
      </c>
      <c r="P370" s="11">
        <v>6836000</v>
      </c>
      <c r="Q370" s="3">
        <v>3840400000</v>
      </c>
      <c r="R370" s="3">
        <v>2556600000</v>
      </c>
      <c r="S370" s="11">
        <v>10300000</v>
      </c>
    </row>
    <row r="371" spans="1:19" x14ac:dyDescent="0.35">
      <c r="A371" s="1" t="s">
        <v>32</v>
      </c>
      <c r="B371" s="1" t="str">
        <f t="shared" si="18"/>
        <v>ICICI Bank</v>
      </c>
      <c r="C371">
        <v>3279</v>
      </c>
      <c r="D371">
        <v>0</v>
      </c>
      <c r="E371">
        <v>9504</v>
      </c>
      <c r="F371" s="2">
        <v>2338708.2799999998</v>
      </c>
      <c r="G371" s="2">
        <v>2338320.2799999998</v>
      </c>
      <c r="H371" s="2">
        <v>388</v>
      </c>
      <c r="I371" s="2">
        <v>2005379.28</v>
      </c>
      <c r="J371" s="2">
        <v>333329</v>
      </c>
      <c r="K371" s="3">
        <v>293329.52</v>
      </c>
      <c r="L371" s="3">
        <v>39999.480000000003</v>
      </c>
      <c r="M371" s="3">
        <v>0</v>
      </c>
      <c r="N371" s="4" t="s">
        <v>100</v>
      </c>
      <c r="O371" s="3" t="str">
        <f t="shared" si="16"/>
        <v>Offline - Box Office</v>
      </c>
      <c r="P371" s="11">
        <v>6836000</v>
      </c>
      <c r="Q371" s="3">
        <v>3840400000</v>
      </c>
      <c r="R371" s="3">
        <v>2556600000</v>
      </c>
      <c r="S371" s="11">
        <v>10300000</v>
      </c>
    </row>
    <row r="372" spans="1:19" x14ac:dyDescent="0.35">
      <c r="A372" s="1" t="s">
        <v>33</v>
      </c>
      <c r="B372" s="1" t="str">
        <f t="shared" si="18"/>
        <v>ICICI Bank</v>
      </c>
      <c r="C372">
        <v>1062</v>
      </c>
      <c r="D372">
        <v>0</v>
      </c>
      <c r="E372">
        <v>3021</v>
      </c>
      <c r="F372" s="2">
        <v>909907.97</v>
      </c>
      <c r="G372" s="2">
        <v>785017.45</v>
      </c>
      <c r="H372" s="2">
        <v>15406</v>
      </c>
      <c r="I372" s="2">
        <v>794302.97</v>
      </c>
      <c r="J372" s="2">
        <v>113013</v>
      </c>
      <c r="K372" s="3">
        <v>96061.05</v>
      </c>
      <c r="L372" s="3">
        <v>16951.95</v>
      </c>
      <c r="M372" s="3">
        <v>106892.52</v>
      </c>
      <c r="N372" s="4" t="s">
        <v>100</v>
      </c>
      <c r="O372" s="3" t="str">
        <f t="shared" si="16"/>
        <v>Online</v>
      </c>
      <c r="P372" s="11">
        <v>6836000</v>
      </c>
      <c r="Q372" s="3">
        <v>3840400000</v>
      </c>
      <c r="R372" s="3">
        <v>2556600000</v>
      </c>
      <c r="S372" s="11">
        <v>10300000</v>
      </c>
    </row>
    <row r="373" spans="1:19" x14ac:dyDescent="0.35">
      <c r="A373" s="1" t="s">
        <v>34</v>
      </c>
      <c r="B373" s="1" t="str">
        <f t="shared" si="18"/>
        <v>ICICI Bank</v>
      </c>
      <c r="C373">
        <v>421</v>
      </c>
      <c r="D373">
        <v>0</v>
      </c>
      <c r="E373">
        <v>1150</v>
      </c>
      <c r="F373" s="2">
        <v>303839.67</v>
      </c>
      <c r="G373" s="2">
        <v>303839.67</v>
      </c>
      <c r="H373" s="2">
        <v>0</v>
      </c>
      <c r="I373" s="2">
        <v>281170.67</v>
      </c>
      <c r="J373" s="2">
        <v>22669</v>
      </c>
      <c r="K373" s="3">
        <v>19948.72</v>
      </c>
      <c r="L373" s="3">
        <v>2720.28</v>
      </c>
      <c r="M373" s="3">
        <v>0</v>
      </c>
      <c r="N373" s="4" t="s">
        <v>100</v>
      </c>
      <c r="O373" s="3" t="str">
        <f t="shared" si="16"/>
        <v>Offline - Box Office</v>
      </c>
      <c r="P373" s="11">
        <v>6836000</v>
      </c>
      <c r="Q373" s="3">
        <v>3840400000</v>
      </c>
      <c r="R373" s="3">
        <v>2556600000</v>
      </c>
      <c r="S373" s="11">
        <v>10300000</v>
      </c>
    </row>
    <row r="374" spans="1:19" x14ac:dyDescent="0.35">
      <c r="A374" s="1" t="s">
        <v>35</v>
      </c>
      <c r="B374" s="1" t="str">
        <f t="shared" si="18"/>
        <v>ICICI Bank</v>
      </c>
      <c r="C374">
        <v>136</v>
      </c>
      <c r="D374">
        <v>0</v>
      </c>
      <c r="E374">
        <v>391</v>
      </c>
      <c r="F374" s="2">
        <v>119557.95</v>
      </c>
      <c r="G374" s="2">
        <v>104227.07</v>
      </c>
      <c r="H374" s="2">
        <v>710</v>
      </c>
      <c r="I374" s="2">
        <v>111782.95</v>
      </c>
      <c r="J374" s="2">
        <v>7339</v>
      </c>
      <c r="K374" s="3">
        <v>6238.15</v>
      </c>
      <c r="L374" s="3">
        <v>1100.8499999999999</v>
      </c>
      <c r="M374" s="3">
        <v>14184.88</v>
      </c>
      <c r="N374" s="4" t="s">
        <v>100</v>
      </c>
      <c r="O374" s="3" t="str">
        <f t="shared" si="16"/>
        <v>Online</v>
      </c>
      <c r="P374" s="11">
        <v>6836000</v>
      </c>
      <c r="Q374" s="3">
        <v>3840400000</v>
      </c>
      <c r="R374" s="3">
        <v>2556600000</v>
      </c>
      <c r="S374" s="11">
        <v>10300000</v>
      </c>
    </row>
    <row r="375" spans="1:19" x14ac:dyDescent="0.35">
      <c r="A375" s="1" t="s">
        <v>48</v>
      </c>
      <c r="B375" s="1" t="str">
        <f t="shared" si="18"/>
        <v>IDBI Bank</v>
      </c>
      <c r="C375">
        <v>137</v>
      </c>
      <c r="D375">
        <v>0</v>
      </c>
      <c r="E375">
        <v>361</v>
      </c>
      <c r="F375" s="2">
        <v>95236.37</v>
      </c>
      <c r="G375" s="2">
        <v>95236.37</v>
      </c>
      <c r="H375" s="2">
        <v>0</v>
      </c>
      <c r="I375" s="2">
        <v>79043.37</v>
      </c>
      <c r="J375" s="2">
        <v>16193</v>
      </c>
      <c r="K375" s="3">
        <v>16193</v>
      </c>
      <c r="L375" s="3">
        <v>0</v>
      </c>
      <c r="M375" s="3">
        <v>0</v>
      </c>
      <c r="N375" s="4" t="s">
        <v>100</v>
      </c>
      <c r="O375" s="3" t="str">
        <f t="shared" si="16"/>
        <v>Offline - Box Office</v>
      </c>
      <c r="P375" s="11">
        <v>6836000</v>
      </c>
      <c r="Q375" s="3">
        <v>3840400000</v>
      </c>
      <c r="R375" s="3">
        <v>2556600000</v>
      </c>
      <c r="S375" s="11">
        <v>10300000</v>
      </c>
    </row>
    <row r="376" spans="1:19" x14ac:dyDescent="0.35">
      <c r="A376" s="1" t="s">
        <v>37</v>
      </c>
      <c r="B376" s="1" t="str">
        <f t="shared" si="18"/>
        <v>IDBI Bank</v>
      </c>
      <c r="C376">
        <v>51</v>
      </c>
      <c r="D376">
        <v>0</v>
      </c>
      <c r="E376">
        <v>129</v>
      </c>
      <c r="F376" s="2">
        <v>37916.94</v>
      </c>
      <c r="G376" s="2">
        <v>32992.400000000001</v>
      </c>
      <c r="H376" s="2">
        <v>250</v>
      </c>
      <c r="I376" s="2">
        <v>31657.94</v>
      </c>
      <c r="J376" s="2">
        <v>6137</v>
      </c>
      <c r="K376" s="3">
        <v>6137</v>
      </c>
      <c r="L376" s="3">
        <v>0</v>
      </c>
      <c r="M376" s="3">
        <v>4552.54</v>
      </c>
      <c r="N376" s="4" t="s">
        <v>100</v>
      </c>
      <c r="O376" s="3" t="str">
        <f t="shared" si="16"/>
        <v>Online</v>
      </c>
      <c r="P376" s="11">
        <v>6836000</v>
      </c>
      <c r="Q376" s="3">
        <v>3840400000</v>
      </c>
      <c r="R376" s="3">
        <v>2556600000</v>
      </c>
      <c r="S376" s="11">
        <v>10300000</v>
      </c>
    </row>
    <row r="377" spans="1:19" x14ac:dyDescent="0.35">
      <c r="A377" s="1" t="s">
        <v>49</v>
      </c>
      <c r="B377" s="1" t="str">
        <f t="shared" si="18"/>
        <v>IDBI Bank</v>
      </c>
      <c r="C377">
        <v>146</v>
      </c>
      <c r="D377">
        <v>0</v>
      </c>
      <c r="E377">
        <v>423</v>
      </c>
      <c r="F377" s="2">
        <v>109080.01</v>
      </c>
      <c r="G377" s="2">
        <v>0</v>
      </c>
      <c r="H377" s="2">
        <v>109080.01</v>
      </c>
      <c r="I377" s="2">
        <v>91470.01</v>
      </c>
      <c r="J377" s="2">
        <v>17610</v>
      </c>
      <c r="K377" s="3">
        <v>12327</v>
      </c>
      <c r="L377" s="3">
        <v>5283</v>
      </c>
      <c r="M377" s="3">
        <v>0</v>
      </c>
      <c r="N377" s="4" t="s">
        <v>100</v>
      </c>
      <c r="O377" s="3" t="str">
        <f t="shared" si="16"/>
        <v>Offline - F&amp;B</v>
      </c>
      <c r="P377" s="11">
        <v>6836000</v>
      </c>
      <c r="Q377" s="3">
        <v>3840400000</v>
      </c>
      <c r="R377" s="3">
        <v>2556600000</v>
      </c>
      <c r="S377" s="11">
        <v>10300000</v>
      </c>
    </row>
    <row r="378" spans="1:19" x14ac:dyDescent="0.35">
      <c r="A378" s="1" t="s">
        <v>87</v>
      </c>
      <c r="B378" s="1" t="str">
        <f t="shared" si="18"/>
        <v>J&amp;K Bank</v>
      </c>
      <c r="C378">
        <v>4</v>
      </c>
      <c r="D378">
        <v>0</v>
      </c>
      <c r="E378">
        <v>17</v>
      </c>
      <c r="F378" s="2">
        <v>4168.4399999999996</v>
      </c>
      <c r="G378" s="2">
        <v>3545</v>
      </c>
      <c r="H378" s="2">
        <v>0</v>
      </c>
      <c r="I378" s="2">
        <v>2371.44</v>
      </c>
      <c r="J378" s="2">
        <v>1773</v>
      </c>
      <c r="K378" s="3">
        <v>1773</v>
      </c>
      <c r="L378" s="3">
        <v>0</v>
      </c>
      <c r="M378" s="3">
        <v>599.44000000000005</v>
      </c>
      <c r="N378" s="4" t="s">
        <v>100</v>
      </c>
      <c r="O378" s="3" t="str">
        <f t="shared" si="16"/>
        <v>Online</v>
      </c>
      <c r="P378" s="11">
        <v>6836000</v>
      </c>
      <c r="Q378" s="3">
        <v>3840400000</v>
      </c>
      <c r="R378" s="3">
        <v>2556600000</v>
      </c>
      <c r="S378" s="11">
        <v>10300000</v>
      </c>
    </row>
    <row r="379" spans="1:19" x14ac:dyDescent="0.35">
      <c r="A379" s="1" t="s">
        <v>75</v>
      </c>
      <c r="B379" s="1" t="str">
        <f t="shared" si="18"/>
        <v>J&amp;K Bank</v>
      </c>
      <c r="C379">
        <v>14</v>
      </c>
      <c r="D379">
        <v>0</v>
      </c>
      <c r="E379">
        <v>38</v>
      </c>
      <c r="F379" s="2">
        <v>17871.580000000002</v>
      </c>
      <c r="G379" s="2">
        <v>15610</v>
      </c>
      <c r="H379" s="2">
        <v>0</v>
      </c>
      <c r="I379" s="2">
        <v>11049.58</v>
      </c>
      <c r="J379" s="2">
        <v>6780</v>
      </c>
      <c r="K379" s="3">
        <v>6441</v>
      </c>
      <c r="L379" s="3">
        <v>339</v>
      </c>
      <c r="M379" s="3">
        <v>2219.58</v>
      </c>
      <c r="N379" s="4" t="s">
        <v>100</v>
      </c>
      <c r="O379" s="3" t="str">
        <f t="shared" si="16"/>
        <v>Online</v>
      </c>
      <c r="P379" s="11">
        <v>6836000</v>
      </c>
      <c r="Q379" s="3">
        <v>3840400000</v>
      </c>
      <c r="R379" s="3">
        <v>2556600000</v>
      </c>
      <c r="S379" s="11">
        <v>10300000</v>
      </c>
    </row>
    <row r="380" spans="1:19" x14ac:dyDescent="0.35">
      <c r="A380" s="1" t="s">
        <v>88</v>
      </c>
      <c r="B380" s="1" t="str">
        <f t="shared" si="18"/>
        <v>J&amp;K Bank</v>
      </c>
      <c r="C380">
        <v>1</v>
      </c>
      <c r="D380">
        <v>0</v>
      </c>
      <c r="E380">
        <v>4</v>
      </c>
      <c r="F380" s="2">
        <v>1760</v>
      </c>
      <c r="G380" s="2">
        <v>1760</v>
      </c>
      <c r="H380" s="2">
        <v>0</v>
      </c>
      <c r="I380" s="2">
        <v>1260</v>
      </c>
      <c r="J380" s="2">
        <v>500</v>
      </c>
      <c r="K380" s="3">
        <v>475</v>
      </c>
      <c r="L380" s="3">
        <v>25</v>
      </c>
      <c r="M380" s="3">
        <v>0</v>
      </c>
      <c r="N380" s="4" t="s">
        <v>100</v>
      </c>
      <c r="O380" s="3" t="str">
        <f t="shared" si="16"/>
        <v>Offline - Box Office</v>
      </c>
      <c r="P380" s="11">
        <v>6836000</v>
      </c>
      <c r="Q380" s="3">
        <v>3840400000</v>
      </c>
      <c r="R380" s="3">
        <v>2556600000</v>
      </c>
      <c r="S380" s="11">
        <v>10300000</v>
      </c>
    </row>
    <row r="381" spans="1:19" x14ac:dyDescent="0.35">
      <c r="A381" s="1" t="s">
        <v>77</v>
      </c>
      <c r="B381" s="1" t="str">
        <f t="shared" si="18"/>
        <v>J&amp;K Bank</v>
      </c>
      <c r="C381">
        <v>63</v>
      </c>
      <c r="D381">
        <v>0</v>
      </c>
      <c r="E381">
        <v>189</v>
      </c>
      <c r="F381" s="2">
        <v>76896.259999999995</v>
      </c>
      <c r="G381" s="2">
        <v>66941</v>
      </c>
      <c r="H381" s="2">
        <v>0</v>
      </c>
      <c r="I381" s="2">
        <v>47454.26</v>
      </c>
      <c r="J381" s="2">
        <v>29230</v>
      </c>
      <c r="K381" s="3">
        <v>27768.5</v>
      </c>
      <c r="L381" s="3">
        <v>1461.5</v>
      </c>
      <c r="M381" s="3">
        <v>9743.26</v>
      </c>
      <c r="N381" s="4" t="s">
        <v>100</v>
      </c>
      <c r="O381" s="3" t="str">
        <f t="shared" si="16"/>
        <v>Online</v>
      </c>
      <c r="P381" s="11">
        <v>6836000</v>
      </c>
      <c r="Q381" s="3">
        <v>3840400000</v>
      </c>
      <c r="R381" s="3">
        <v>2556600000</v>
      </c>
      <c r="S381" s="11">
        <v>10300000</v>
      </c>
    </row>
    <row r="382" spans="1:19" x14ac:dyDescent="0.35">
      <c r="A382" s="1" t="s">
        <v>51</v>
      </c>
      <c r="B382" s="1" t="str">
        <f t="shared" si="18"/>
        <v>Kotak Mahindra Bank</v>
      </c>
      <c r="C382">
        <v>36</v>
      </c>
      <c r="D382">
        <v>0</v>
      </c>
      <c r="E382">
        <v>87</v>
      </c>
      <c r="F382" s="2">
        <v>68038.66</v>
      </c>
      <c r="G382" s="2">
        <v>59923</v>
      </c>
      <c r="H382" s="2">
        <v>1376</v>
      </c>
      <c r="I382" s="2">
        <v>56768.66</v>
      </c>
      <c r="J382" s="2">
        <v>11190</v>
      </c>
      <c r="K382" s="3">
        <v>8952</v>
      </c>
      <c r="L382" s="3">
        <v>2238</v>
      </c>
      <c r="M382" s="3">
        <v>6659.66</v>
      </c>
      <c r="N382" s="4" t="s">
        <v>100</v>
      </c>
      <c r="O382" s="3" t="str">
        <f t="shared" si="16"/>
        <v>Online</v>
      </c>
      <c r="P382" s="11">
        <v>6836000</v>
      </c>
      <c r="Q382" s="3">
        <v>3840400000</v>
      </c>
      <c r="R382" s="3">
        <v>2556600000</v>
      </c>
      <c r="S382" s="11">
        <v>10300000</v>
      </c>
    </row>
    <row r="383" spans="1:19" x14ac:dyDescent="0.35">
      <c r="A383" s="1" t="s">
        <v>90</v>
      </c>
      <c r="B383" s="1" t="str">
        <f t="shared" si="18"/>
        <v>Kotak Mahindra Bank</v>
      </c>
      <c r="C383">
        <v>14</v>
      </c>
      <c r="D383">
        <v>14</v>
      </c>
      <c r="E383">
        <v>30</v>
      </c>
      <c r="F383" s="2">
        <v>27315.040000000001</v>
      </c>
      <c r="G383" s="2">
        <v>24998</v>
      </c>
      <c r="H383" s="2">
        <v>0</v>
      </c>
      <c r="I383" s="2">
        <v>16264.04</v>
      </c>
      <c r="J383" s="2">
        <v>11009</v>
      </c>
      <c r="K383" s="3">
        <v>11009</v>
      </c>
      <c r="L383" s="3">
        <v>0</v>
      </c>
      <c r="M383" s="3">
        <v>2275.04</v>
      </c>
      <c r="N383" s="4" t="s">
        <v>100</v>
      </c>
      <c r="O383" s="3" t="str">
        <f t="shared" si="16"/>
        <v>Online</v>
      </c>
      <c r="P383" s="11">
        <v>6836000</v>
      </c>
      <c r="Q383" s="3">
        <v>3840400000</v>
      </c>
      <c r="R383" s="3">
        <v>2556600000</v>
      </c>
      <c r="S383" s="11">
        <v>10300000</v>
      </c>
    </row>
    <row r="384" spans="1:19" x14ac:dyDescent="0.35">
      <c r="A384" s="1" t="s">
        <v>38</v>
      </c>
      <c r="B384" s="1" t="str">
        <f t="shared" si="18"/>
        <v>Kotak Mahindra Bank</v>
      </c>
      <c r="C384">
        <v>14089</v>
      </c>
      <c r="D384">
        <v>0</v>
      </c>
      <c r="E384">
        <v>33003</v>
      </c>
      <c r="F384" s="2">
        <v>7834424.7000000002</v>
      </c>
      <c r="G384" s="2">
        <v>279401.73</v>
      </c>
      <c r="H384" s="2">
        <v>7551588.8499999996</v>
      </c>
      <c r="I384" s="2">
        <v>6272539.7000000002</v>
      </c>
      <c r="J384" s="2">
        <v>1561795</v>
      </c>
      <c r="K384" s="3">
        <v>0</v>
      </c>
      <c r="L384" s="3">
        <v>1561795</v>
      </c>
      <c r="M384" s="3">
        <v>3344.12</v>
      </c>
      <c r="N384" s="4" t="s">
        <v>100</v>
      </c>
      <c r="O384" s="3" t="str">
        <f t="shared" si="16"/>
        <v>Other</v>
      </c>
      <c r="P384" s="11">
        <v>6836000</v>
      </c>
      <c r="Q384" s="3">
        <v>3840400000</v>
      </c>
      <c r="R384" s="3">
        <v>2556600000</v>
      </c>
      <c r="S384" s="11">
        <v>10300000</v>
      </c>
    </row>
    <row r="385" spans="1:19" x14ac:dyDescent="0.35">
      <c r="A385" s="1" t="s">
        <v>58</v>
      </c>
      <c r="B385" s="1" t="str">
        <f t="shared" si="18"/>
        <v>Kotak Mahindra Bank</v>
      </c>
      <c r="C385">
        <v>2893</v>
      </c>
      <c r="D385">
        <v>0</v>
      </c>
      <c r="E385">
        <v>6992</v>
      </c>
      <c r="F385" s="2">
        <v>1868903.25</v>
      </c>
      <c r="G385" s="2">
        <v>1780472.27</v>
      </c>
      <c r="H385" s="2">
        <v>2760</v>
      </c>
      <c r="I385" s="2">
        <v>1796569.17</v>
      </c>
      <c r="J385" s="2">
        <v>70930</v>
      </c>
      <c r="K385" s="3">
        <v>0</v>
      </c>
      <c r="L385" s="3">
        <v>70930</v>
      </c>
      <c r="M385" s="3">
        <v>84266.98</v>
      </c>
      <c r="N385" s="4" t="s">
        <v>100</v>
      </c>
      <c r="O385" s="3" t="str">
        <f t="shared" si="16"/>
        <v>Other</v>
      </c>
      <c r="P385" s="11">
        <v>6836000</v>
      </c>
      <c r="Q385" s="3">
        <v>3840400000</v>
      </c>
      <c r="R385" s="3">
        <v>2556600000</v>
      </c>
      <c r="S385" s="11">
        <v>10300000</v>
      </c>
    </row>
    <row r="386" spans="1:19" x14ac:dyDescent="0.35">
      <c r="A386" s="1" t="s">
        <v>78</v>
      </c>
      <c r="B386" s="1" t="str">
        <f t="shared" si="18"/>
        <v>Mastercard</v>
      </c>
      <c r="C386">
        <v>2980</v>
      </c>
      <c r="D386">
        <v>0</v>
      </c>
      <c r="E386">
        <v>9975</v>
      </c>
      <c r="F386" s="2">
        <v>3021423.81</v>
      </c>
      <c r="G386" s="2">
        <v>797242.15</v>
      </c>
      <c r="H386" s="2">
        <v>2224181.66</v>
      </c>
      <c r="I386" s="2">
        <v>2726344.81</v>
      </c>
      <c r="J386" s="2">
        <v>295079</v>
      </c>
      <c r="K386" s="3">
        <v>0</v>
      </c>
      <c r="L386" s="3">
        <v>295079</v>
      </c>
      <c r="M386" s="3">
        <v>0</v>
      </c>
      <c r="N386" s="4" t="s">
        <v>100</v>
      </c>
      <c r="O386" s="3" t="str">
        <f t="shared" ref="O386:O449" si="19">IF(ISNUMBER(SEARCH("Box Office",A386)),"Offline - Box Office",
IF(ISNUMBER(SEARCH("Digital Platforms",A386)),"Online",
IF(ISNUMBER(SEARCH("Refuel",A386)),"Offline - F&amp;B",
IF(ISNUMBER(SEARCH("Food &amp; Beverages",A386)),"Offline - F&amp;B",
IF(ISNUMBER(SEARCH("F&amp;B",A386)),"Offline - F&amp;B",
IF(ISNUMBER(SEARCH("Kiosk",A386)),"Offline - Box Office",
IF(ISNUMBER(SEARCH("Cinema",A386)),"Offline - Box Office",
"Other")))))))</f>
        <v>Other</v>
      </c>
      <c r="P386" s="11">
        <v>6836000</v>
      </c>
      <c r="Q386" s="3">
        <v>3840400000</v>
      </c>
      <c r="R386" s="3">
        <v>2556600000</v>
      </c>
      <c r="S386" s="11">
        <v>10300000</v>
      </c>
    </row>
    <row r="387" spans="1:19" x14ac:dyDescent="0.35">
      <c r="A387" s="1" t="s">
        <v>79</v>
      </c>
      <c r="B387" s="1" t="str">
        <f t="shared" si="18"/>
        <v>Mastercard</v>
      </c>
      <c r="C387">
        <v>2321</v>
      </c>
      <c r="D387">
        <v>0</v>
      </c>
      <c r="E387">
        <v>6870</v>
      </c>
      <c r="F387" s="2">
        <v>2083965.37</v>
      </c>
      <c r="G387" s="2">
        <v>625039.46</v>
      </c>
      <c r="H387" s="2">
        <v>1458925.91</v>
      </c>
      <c r="I387" s="2">
        <v>1851865.37</v>
      </c>
      <c r="J387" s="2">
        <v>232100</v>
      </c>
      <c r="K387" s="3">
        <v>0</v>
      </c>
      <c r="L387" s="3">
        <v>232100</v>
      </c>
      <c r="M387" s="3">
        <v>0</v>
      </c>
      <c r="N387" s="4" t="s">
        <v>100</v>
      </c>
      <c r="O387" s="3" t="str">
        <f t="shared" si="19"/>
        <v>Other</v>
      </c>
      <c r="P387" s="11">
        <v>6836000</v>
      </c>
      <c r="Q387" s="3">
        <v>3840400000</v>
      </c>
      <c r="R387" s="3">
        <v>2556600000</v>
      </c>
      <c r="S387" s="11">
        <v>10300000</v>
      </c>
    </row>
    <row r="388" spans="1:19" x14ac:dyDescent="0.35">
      <c r="A388" s="1" t="s">
        <v>80</v>
      </c>
      <c r="B388" s="1" t="str">
        <f t="shared" si="18"/>
        <v>State Bank of India</v>
      </c>
      <c r="C388">
        <v>942</v>
      </c>
      <c r="D388">
        <v>0</v>
      </c>
      <c r="E388">
        <v>3165</v>
      </c>
      <c r="F388" s="2">
        <v>855282.81</v>
      </c>
      <c r="G388" s="2">
        <v>855102.81</v>
      </c>
      <c r="H388" s="2">
        <v>180</v>
      </c>
      <c r="I388" s="2">
        <v>782724.81</v>
      </c>
      <c r="J388" s="2">
        <v>72558</v>
      </c>
      <c r="K388" s="3">
        <v>36279</v>
      </c>
      <c r="L388" s="3">
        <v>36279</v>
      </c>
      <c r="M388" s="3">
        <v>0</v>
      </c>
      <c r="N388" s="4" t="s">
        <v>100</v>
      </c>
      <c r="O388" s="3" t="str">
        <f t="shared" si="19"/>
        <v>Offline - Box Office</v>
      </c>
      <c r="P388" s="11">
        <v>6836000</v>
      </c>
      <c r="Q388" s="3">
        <v>3840400000</v>
      </c>
      <c r="R388" s="3">
        <v>2556600000</v>
      </c>
      <c r="S388" s="11">
        <v>10300000</v>
      </c>
    </row>
    <row r="389" spans="1:19" x14ac:dyDescent="0.35">
      <c r="A389" s="1" t="s">
        <v>65</v>
      </c>
      <c r="B389" s="1" t="str">
        <f t="shared" si="18"/>
        <v>State Bank of India</v>
      </c>
      <c r="C389">
        <v>658</v>
      </c>
      <c r="D389">
        <v>0</v>
      </c>
      <c r="E389">
        <v>2016</v>
      </c>
      <c r="F389" s="2">
        <v>658169.66</v>
      </c>
      <c r="G389" s="2">
        <v>554651.12</v>
      </c>
      <c r="H389" s="2">
        <v>26370</v>
      </c>
      <c r="I389" s="2">
        <v>604771.66</v>
      </c>
      <c r="J389" s="2">
        <v>51930</v>
      </c>
      <c r="K389" s="3">
        <v>25965</v>
      </c>
      <c r="L389" s="3">
        <v>25965</v>
      </c>
      <c r="M389" s="3">
        <v>75680.539999999994</v>
      </c>
      <c r="N389" s="4" t="s">
        <v>100</v>
      </c>
      <c r="O389" s="3" t="str">
        <f t="shared" si="19"/>
        <v>Online</v>
      </c>
      <c r="P389" s="11">
        <v>6836000</v>
      </c>
      <c r="Q389" s="3">
        <v>3840400000</v>
      </c>
      <c r="R389" s="3">
        <v>2556600000</v>
      </c>
      <c r="S389" s="11">
        <v>10300000</v>
      </c>
    </row>
    <row r="390" spans="1:19" x14ac:dyDescent="0.35">
      <c r="A390" s="1" t="s">
        <v>66</v>
      </c>
      <c r="B390" s="1" t="str">
        <f t="shared" si="18"/>
        <v>State Bank of India</v>
      </c>
      <c r="C390">
        <v>5310</v>
      </c>
      <c r="D390">
        <v>0</v>
      </c>
      <c r="E390">
        <v>18069</v>
      </c>
      <c r="F390" s="2">
        <v>4677362.82</v>
      </c>
      <c r="G390" s="2">
        <v>0</v>
      </c>
      <c r="H390" s="2">
        <v>4677362.82</v>
      </c>
      <c r="I390" s="2">
        <v>4266271.82</v>
      </c>
      <c r="J390" s="2">
        <v>411091</v>
      </c>
      <c r="K390" s="3">
        <v>205545.5</v>
      </c>
      <c r="L390" s="3">
        <v>205545.5</v>
      </c>
      <c r="M390" s="3">
        <v>0</v>
      </c>
      <c r="N390" s="4" t="s">
        <v>100</v>
      </c>
      <c r="O390" s="3" t="str">
        <f t="shared" si="19"/>
        <v>Offline - F&amp;B</v>
      </c>
      <c r="P390" s="11">
        <v>6836000</v>
      </c>
      <c r="Q390" s="3">
        <v>3840400000</v>
      </c>
      <c r="R390" s="3">
        <v>2556600000</v>
      </c>
      <c r="S390" s="11">
        <v>10300000</v>
      </c>
    </row>
    <row r="391" spans="1:19" x14ac:dyDescent="0.35">
      <c r="A391" s="1" t="s">
        <v>101</v>
      </c>
      <c r="B391" s="1" t="str">
        <f t="shared" si="18"/>
        <v>Scapia</v>
      </c>
      <c r="C391">
        <v>8</v>
      </c>
      <c r="D391">
        <v>0</v>
      </c>
      <c r="E391">
        <v>12</v>
      </c>
      <c r="F391" s="2">
        <v>4510</v>
      </c>
      <c r="G391" s="2">
        <v>4510</v>
      </c>
      <c r="H391" s="2">
        <v>0</v>
      </c>
      <c r="I391" s="2">
        <v>3618</v>
      </c>
      <c r="J391" s="2">
        <v>892</v>
      </c>
      <c r="K391" s="3">
        <v>624.4</v>
      </c>
      <c r="L391" s="3">
        <v>267.60000000000002</v>
      </c>
      <c r="M391" s="3">
        <v>0</v>
      </c>
      <c r="N391" s="4" t="s">
        <v>100</v>
      </c>
      <c r="O391" s="3" t="str">
        <f t="shared" si="19"/>
        <v>Online</v>
      </c>
      <c r="P391" s="11">
        <v>6836000</v>
      </c>
      <c r="Q391" s="3">
        <v>3840400000</v>
      </c>
      <c r="R391" s="3">
        <v>2556600000</v>
      </c>
      <c r="S391" s="11">
        <v>10300000</v>
      </c>
    </row>
    <row r="392" spans="1:19" x14ac:dyDescent="0.35">
      <c r="A392" s="1" t="s">
        <v>102</v>
      </c>
      <c r="B392" s="1" t="str">
        <f t="shared" si="18"/>
        <v>Scapia</v>
      </c>
      <c r="C392">
        <v>61</v>
      </c>
      <c r="D392">
        <v>0</v>
      </c>
      <c r="E392">
        <v>119</v>
      </c>
      <c r="F392" s="2">
        <v>38218</v>
      </c>
      <c r="G392" s="2">
        <v>0</v>
      </c>
      <c r="H392" s="2">
        <v>38218</v>
      </c>
      <c r="I392" s="2">
        <v>31242</v>
      </c>
      <c r="J392" s="2">
        <v>6976</v>
      </c>
      <c r="K392" s="3">
        <v>4883.2</v>
      </c>
      <c r="L392" s="3">
        <v>2092.8000000000002</v>
      </c>
      <c r="M392" s="3">
        <v>0</v>
      </c>
      <c r="N392" s="4" t="s">
        <v>100</v>
      </c>
      <c r="O392" s="3" t="str">
        <f t="shared" si="19"/>
        <v>Offline - F&amp;B</v>
      </c>
      <c r="P392" s="11">
        <v>6836000</v>
      </c>
      <c r="Q392" s="3">
        <v>3840400000</v>
      </c>
      <c r="R392" s="3">
        <v>2556600000</v>
      </c>
      <c r="S392" s="11">
        <v>10300000</v>
      </c>
    </row>
    <row r="393" spans="1:19" x14ac:dyDescent="0.35">
      <c r="A393" s="1" t="s">
        <v>103</v>
      </c>
      <c r="B393" s="1" t="str">
        <f t="shared" si="18"/>
        <v>Scapia</v>
      </c>
      <c r="C393">
        <v>5</v>
      </c>
      <c r="D393">
        <v>5</v>
      </c>
      <c r="E393">
        <v>12</v>
      </c>
      <c r="F393" s="2">
        <v>3380</v>
      </c>
      <c r="G393" s="2">
        <v>3380</v>
      </c>
      <c r="H393" s="2">
        <v>0</v>
      </c>
      <c r="I393" s="2">
        <v>2880</v>
      </c>
      <c r="J393" s="2">
        <v>500</v>
      </c>
      <c r="K393" s="3">
        <v>500</v>
      </c>
      <c r="L393" s="3">
        <v>0</v>
      </c>
      <c r="M393" s="3">
        <v>0</v>
      </c>
      <c r="N393" s="4" t="s">
        <v>100</v>
      </c>
      <c r="O393" s="3" t="str">
        <f t="shared" si="19"/>
        <v>Offline - Box Office</v>
      </c>
      <c r="P393" s="11">
        <v>6836000</v>
      </c>
      <c r="Q393" s="3">
        <v>3840400000</v>
      </c>
      <c r="R393" s="3">
        <v>2556600000</v>
      </c>
      <c r="S393" s="11">
        <v>10300000</v>
      </c>
    </row>
    <row r="394" spans="1:19" x14ac:dyDescent="0.35">
      <c r="A394" s="1" t="s">
        <v>81</v>
      </c>
      <c r="B394" s="1" t="str">
        <f t="shared" si="18"/>
        <v>Scapia</v>
      </c>
      <c r="C394">
        <v>133</v>
      </c>
      <c r="D394">
        <v>133</v>
      </c>
      <c r="E394">
        <v>317</v>
      </c>
      <c r="F394" s="2">
        <v>92393.26</v>
      </c>
      <c r="G394" s="2">
        <v>79375.820000000007</v>
      </c>
      <c r="H394" s="2">
        <v>1370</v>
      </c>
      <c r="I394" s="2">
        <v>78814.399999999994</v>
      </c>
      <c r="J394" s="2">
        <v>13264.86</v>
      </c>
      <c r="K394" s="3">
        <v>13264.86</v>
      </c>
      <c r="L394" s="3">
        <v>0</v>
      </c>
      <c r="M394" s="3">
        <v>11333.44</v>
      </c>
      <c r="N394" s="4" t="s">
        <v>100</v>
      </c>
      <c r="O394" s="3" t="str">
        <f t="shared" si="19"/>
        <v>Online</v>
      </c>
      <c r="P394" s="11">
        <v>6836000</v>
      </c>
      <c r="Q394" s="3">
        <v>3840400000</v>
      </c>
      <c r="R394" s="3">
        <v>2556600000</v>
      </c>
      <c r="S394" s="11">
        <v>10300000</v>
      </c>
    </row>
    <row r="395" spans="1:19" x14ac:dyDescent="0.35">
      <c r="A395" s="1" t="s">
        <v>40</v>
      </c>
      <c r="B395" s="1" t="str">
        <f t="shared" si="18"/>
        <v>Standard Chartered Bank</v>
      </c>
      <c r="C395">
        <v>9</v>
      </c>
      <c r="D395">
        <v>9</v>
      </c>
      <c r="E395">
        <v>20</v>
      </c>
      <c r="F395" s="2">
        <v>6601.77</v>
      </c>
      <c r="G395" s="2">
        <v>6601.77</v>
      </c>
      <c r="H395" s="2">
        <v>0</v>
      </c>
      <c r="I395" s="2">
        <v>4831.18</v>
      </c>
      <c r="J395" s="2">
        <v>1770.59</v>
      </c>
      <c r="K395" s="3">
        <v>1770.59</v>
      </c>
      <c r="L395" s="3">
        <v>0</v>
      </c>
      <c r="M395" s="3">
        <v>0</v>
      </c>
      <c r="N395" s="4" t="s">
        <v>100</v>
      </c>
      <c r="O395" s="3" t="str">
        <f t="shared" si="19"/>
        <v>Offline - Box Office</v>
      </c>
      <c r="P395" s="11">
        <v>6836000</v>
      </c>
      <c r="Q395" s="3">
        <v>3840400000</v>
      </c>
      <c r="R395" s="3">
        <v>2556600000</v>
      </c>
      <c r="S395" s="11">
        <v>10300000</v>
      </c>
    </row>
    <row r="396" spans="1:19" x14ac:dyDescent="0.35">
      <c r="A396" s="1" t="s">
        <v>41</v>
      </c>
      <c r="B396" s="1" t="str">
        <f t="shared" si="18"/>
        <v>Standard Chartered Bank</v>
      </c>
      <c r="C396">
        <v>64</v>
      </c>
      <c r="D396">
        <v>64</v>
      </c>
      <c r="E396">
        <v>141</v>
      </c>
      <c r="F396" s="2">
        <v>39316.589999999997</v>
      </c>
      <c r="G396" s="2">
        <v>34550.870000000003</v>
      </c>
      <c r="H396" s="2">
        <v>0</v>
      </c>
      <c r="I396" s="2">
        <v>26969.37</v>
      </c>
      <c r="J396" s="2">
        <v>12247.22</v>
      </c>
      <c r="K396" s="3">
        <v>12247.22</v>
      </c>
      <c r="L396" s="3">
        <v>0</v>
      </c>
      <c r="M396" s="3">
        <v>4665.72</v>
      </c>
      <c r="N396" s="4" t="s">
        <v>100</v>
      </c>
      <c r="O396" s="3" t="str">
        <f t="shared" si="19"/>
        <v>Online</v>
      </c>
      <c r="P396" s="11">
        <v>6836000</v>
      </c>
      <c r="Q396" s="3">
        <v>3840400000</v>
      </c>
      <c r="R396" s="3">
        <v>2556600000</v>
      </c>
      <c r="S396" s="11">
        <v>10300000</v>
      </c>
    </row>
    <row r="397" spans="1:19" x14ac:dyDescent="0.35">
      <c r="A397" s="1" t="s">
        <v>91</v>
      </c>
      <c r="B397" s="1" t="str">
        <f t="shared" si="18"/>
        <v>American Express</v>
      </c>
      <c r="C397">
        <v>331</v>
      </c>
      <c r="D397">
        <v>331</v>
      </c>
      <c r="E397">
        <v>890</v>
      </c>
      <c r="F397" s="2">
        <v>461295.65</v>
      </c>
      <c r="G397" s="2">
        <v>461345.99</v>
      </c>
      <c r="H397" s="2">
        <v>0</v>
      </c>
      <c r="I397" s="2">
        <v>328688.01</v>
      </c>
      <c r="J397" s="2">
        <v>132607.64000000001</v>
      </c>
      <c r="K397" s="3">
        <v>66303.91</v>
      </c>
      <c r="L397" s="3">
        <v>66303.91</v>
      </c>
      <c r="M397" s="3">
        <v>0</v>
      </c>
      <c r="N397" s="4" t="s">
        <v>104</v>
      </c>
      <c r="O397" s="3" t="str">
        <f t="shared" si="19"/>
        <v>Offline - Box Office</v>
      </c>
      <c r="P397" s="11">
        <v>7636000</v>
      </c>
      <c r="Q397" s="3">
        <v>4604800000</v>
      </c>
      <c r="R397" s="3">
        <v>3157600000</v>
      </c>
      <c r="S397" s="11">
        <v>11700000</v>
      </c>
    </row>
    <row r="398" spans="1:19" x14ac:dyDescent="0.35">
      <c r="A398" s="1" t="s">
        <v>93</v>
      </c>
      <c r="B398" s="1" t="str">
        <f t="shared" si="18"/>
        <v>American Express</v>
      </c>
      <c r="C398">
        <v>1068</v>
      </c>
      <c r="D398">
        <v>1068</v>
      </c>
      <c r="E398">
        <v>2699</v>
      </c>
      <c r="F398" s="2">
        <v>1575044.45</v>
      </c>
      <c r="G398" s="2">
        <v>1401824.46</v>
      </c>
      <c r="H398" s="2">
        <v>13930</v>
      </c>
      <c r="I398" s="2">
        <v>1138077.2</v>
      </c>
      <c r="J398" s="2">
        <v>433843.25</v>
      </c>
      <c r="K398" s="3">
        <v>216921.83</v>
      </c>
      <c r="L398" s="3">
        <v>216921.83</v>
      </c>
      <c r="M398" s="3">
        <v>156513.76</v>
      </c>
      <c r="N398" s="4" t="s">
        <v>104</v>
      </c>
      <c r="O398" s="3" t="str">
        <f t="shared" si="19"/>
        <v>Online</v>
      </c>
      <c r="P398" s="11">
        <v>7636000</v>
      </c>
      <c r="Q398" s="3">
        <v>4604800000</v>
      </c>
      <c r="R398" s="3">
        <v>3157600000</v>
      </c>
      <c r="S398" s="11">
        <v>11700000</v>
      </c>
    </row>
    <row r="399" spans="1:19" x14ac:dyDescent="0.35">
      <c r="A399" s="1" t="s">
        <v>59</v>
      </c>
      <c r="B399" s="1" t="str">
        <f t="shared" si="18"/>
        <v>AU Bank</v>
      </c>
      <c r="C399">
        <v>1</v>
      </c>
      <c r="D399">
        <v>0</v>
      </c>
      <c r="E399">
        <v>2</v>
      </c>
      <c r="F399" s="2">
        <v>520</v>
      </c>
      <c r="G399" s="2">
        <v>520</v>
      </c>
      <c r="H399" s="2">
        <v>0</v>
      </c>
      <c r="I399" s="2">
        <v>420</v>
      </c>
      <c r="J399" s="2">
        <v>100</v>
      </c>
      <c r="K399" s="3">
        <v>100</v>
      </c>
      <c r="L399" s="3">
        <v>0</v>
      </c>
      <c r="M399" s="3">
        <v>0</v>
      </c>
      <c r="N399" s="4" t="s">
        <v>104</v>
      </c>
      <c r="O399" s="3" t="str">
        <f t="shared" si="19"/>
        <v>Offline - Box Office</v>
      </c>
      <c r="P399" s="11">
        <v>7636000</v>
      </c>
      <c r="Q399" s="3">
        <v>4604800000</v>
      </c>
      <c r="R399" s="3">
        <v>3157600000</v>
      </c>
      <c r="S399" s="11">
        <v>11700000</v>
      </c>
    </row>
    <row r="400" spans="1:19" x14ac:dyDescent="0.35">
      <c r="A400" s="1" t="s">
        <v>19</v>
      </c>
      <c r="B400" s="1" t="str">
        <f t="shared" si="18"/>
        <v>AU Bank</v>
      </c>
      <c r="C400">
        <v>351</v>
      </c>
      <c r="D400">
        <v>0</v>
      </c>
      <c r="E400">
        <v>986</v>
      </c>
      <c r="F400" s="2">
        <v>385597.73</v>
      </c>
      <c r="G400" s="2">
        <v>334718.57</v>
      </c>
      <c r="H400" s="2">
        <v>5570</v>
      </c>
      <c r="I400" s="2">
        <v>349409.73</v>
      </c>
      <c r="J400" s="2">
        <v>35100</v>
      </c>
      <c r="K400" s="3">
        <v>35100</v>
      </c>
      <c r="L400" s="3">
        <v>0</v>
      </c>
      <c r="M400" s="3">
        <v>44269.22</v>
      </c>
      <c r="N400" s="4" t="s">
        <v>104</v>
      </c>
      <c r="O400" s="3" t="str">
        <f t="shared" si="19"/>
        <v>Online</v>
      </c>
      <c r="P400" s="11">
        <v>7636000</v>
      </c>
      <c r="Q400" s="3">
        <v>4604800000</v>
      </c>
      <c r="R400" s="3">
        <v>3157600000</v>
      </c>
      <c r="S400" s="11">
        <v>11700000</v>
      </c>
    </row>
    <row r="401" spans="1:19" x14ac:dyDescent="0.35">
      <c r="A401" s="1" t="s">
        <v>21</v>
      </c>
      <c r="B401" s="1" t="str">
        <f t="shared" si="18"/>
        <v>AU Bank</v>
      </c>
      <c r="C401">
        <v>79</v>
      </c>
      <c r="D401">
        <v>0</v>
      </c>
      <c r="E401">
        <v>87</v>
      </c>
      <c r="F401" s="2">
        <v>42548.639999999999</v>
      </c>
      <c r="G401" s="2">
        <v>40648</v>
      </c>
      <c r="H401" s="2">
        <v>1720</v>
      </c>
      <c r="I401" s="2">
        <v>34642.639999999999</v>
      </c>
      <c r="J401" s="2">
        <v>7900</v>
      </c>
      <c r="K401" s="3">
        <v>5530</v>
      </c>
      <c r="L401" s="3">
        <v>2370</v>
      </c>
      <c r="M401" s="3">
        <v>174.64</v>
      </c>
      <c r="N401" s="4" t="s">
        <v>104</v>
      </c>
      <c r="O401" s="3" t="str">
        <f t="shared" si="19"/>
        <v>Online</v>
      </c>
      <c r="P401" s="11">
        <v>7636000</v>
      </c>
      <c r="Q401" s="3">
        <v>4604800000</v>
      </c>
      <c r="R401" s="3">
        <v>3157600000</v>
      </c>
      <c r="S401" s="11">
        <v>11700000</v>
      </c>
    </row>
    <row r="402" spans="1:19" x14ac:dyDescent="0.35">
      <c r="A402" s="1" t="s">
        <v>22</v>
      </c>
      <c r="B402" s="1" t="str">
        <f t="shared" si="18"/>
        <v>AU Bank</v>
      </c>
      <c r="C402">
        <v>879</v>
      </c>
      <c r="D402">
        <v>0</v>
      </c>
      <c r="E402">
        <v>2134</v>
      </c>
      <c r="F402" s="2">
        <v>640722.30000000005</v>
      </c>
      <c r="G402" s="2">
        <v>0</v>
      </c>
      <c r="H402" s="2">
        <v>640722.30000000005</v>
      </c>
      <c r="I402" s="2">
        <v>552822.30000000005</v>
      </c>
      <c r="J402" s="2">
        <v>87900</v>
      </c>
      <c r="K402" s="3">
        <v>61530</v>
      </c>
      <c r="L402" s="3">
        <v>26370</v>
      </c>
      <c r="M402" s="3">
        <v>0</v>
      </c>
      <c r="N402" s="4" t="s">
        <v>104</v>
      </c>
      <c r="O402" s="3" t="str">
        <f t="shared" si="19"/>
        <v>Offline - F&amp;B</v>
      </c>
      <c r="P402" s="11">
        <v>7636000</v>
      </c>
      <c r="Q402" s="3">
        <v>4604800000</v>
      </c>
      <c r="R402" s="3">
        <v>3157600000</v>
      </c>
      <c r="S402" s="11">
        <v>11700000</v>
      </c>
    </row>
    <row r="403" spans="1:19" x14ac:dyDescent="0.35">
      <c r="A403" s="1" t="s">
        <v>43</v>
      </c>
      <c r="B403" s="1" t="str">
        <f t="shared" si="18"/>
        <v>Axis Bank</v>
      </c>
      <c r="C403">
        <v>18</v>
      </c>
      <c r="D403">
        <v>18</v>
      </c>
      <c r="E403">
        <v>52</v>
      </c>
      <c r="F403" s="2">
        <v>16738.98</v>
      </c>
      <c r="G403" s="2">
        <v>16738.98</v>
      </c>
      <c r="H403" s="2">
        <v>0</v>
      </c>
      <c r="I403" s="2">
        <v>13299.98</v>
      </c>
      <c r="J403" s="2">
        <v>3439</v>
      </c>
      <c r="K403" s="3">
        <v>3026.32</v>
      </c>
      <c r="L403" s="3">
        <v>412.68</v>
      </c>
      <c r="M403" s="3">
        <v>0</v>
      </c>
      <c r="N403" s="4" t="s">
        <v>104</v>
      </c>
      <c r="O403" s="3" t="str">
        <f t="shared" si="19"/>
        <v>Offline - Box Office</v>
      </c>
      <c r="P403" s="11">
        <v>7636000</v>
      </c>
      <c r="Q403" s="3">
        <v>4604800000</v>
      </c>
      <c r="R403" s="3">
        <v>3157600000</v>
      </c>
      <c r="S403" s="11">
        <v>11700000</v>
      </c>
    </row>
    <row r="404" spans="1:19" x14ac:dyDescent="0.35">
      <c r="A404" s="1" t="s">
        <v>23</v>
      </c>
      <c r="B404" s="1" t="str">
        <f t="shared" si="18"/>
        <v>Axis Bank</v>
      </c>
      <c r="C404">
        <v>13</v>
      </c>
      <c r="D404">
        <v>13</v>
      </c>
      <c r="E404">
        <v>29</v>
      </c>
      <c r="F404" s="2">
        <v>12856.02</v>
      </c>
      <c r="G404" s="2">
        <v>11361.18</v>
      </c>
      <c r="H404" s="2">
        <v>0</v>
      </c>
      <c r="I404" s="2">
        <v>10231.43</v>
      </c>
      <c r="J404" s="2">
        <v>2590.59</v>
      </c>
      <c r="K404" s="3">
        <v>2202</v>
      </c>
      <c r="L404" s="3">
        <v>388.59</v>
      </c>
      <c r="M404" s="3">
        <v>1460.84</v>
      </c>
      <c r="N404" s="4" t="s">
        <v>104</v>
      </c>
      <c r="O404" s="3" t="str">
        <f t="shared" si="19"/>
        <v>Online</v>
      </c>
      <c r="P404" s="11">
        <v>7636000</v>
      </c>
      <c r="Q404" s="3">
        <v>4604800000</v>
      </c>
      <c r="R404" s="3">
        <v>3157600000</v>
      </c>
      <c r="S404" s="11">
        <v>11700000</v>
      </c>
    </row>
    <row r="405" spans="1:19" x14ac:dyDescent="0.35">
      <c r="A405" s="1" t="s">
        <v>44</v>
      </c>
      <c r="B405" s="1" t="str">
        <f t="shared" si="18"/>
        <v>Axis Bank</v>
      </c>
      <c r="C405">
        <v>238</v>
      </c>
      <c r="D405">
        <v>238</v>
      </c>
      <c r="E405">
        <v>578</v>
      </c>
      <c r="F405" s="2">
        <v>149428.97</v>
      </c>
      <c r="G405" s="2">
        <v>149791.99</v>
      </c>
      <c r="H405" s="2">
        <v>0</v>
      </c>
      <c r="I405" s="2">
        <v>103829.58</v>
      </c>
      <c r="J405" s="2">
        <v>45599.39</v>
      </c>
      <c r="K405" s="3">
        <v>40127.49</v>
      </c>
      <c r="L405" s="3">
        <v>5471.9</v>
      </c>
      <c r="M405" s="3">
        <v>0</v>
      </c>
      <c r="N405" s="4" t="s">
        <v>104</v>
      </c>
      <c r="O405" s="3" t="str">
        <f t="shared" si="19"/>
        <v>Offline - Box Office</v>
      </c>
      <c r="P405" s="11">
        <v>7636000</v>
      </c>
      <c r="Q405" s="3">
        <v>4604800000</v>
      </c>
      <c r="R405" s="3">
        <v>3157600000</v>
      </c>
      <c r="S405" s="11">
        <v>11700000</v>
      </c>
    </row>
    <row r="406" spans="1:19" x14ac:dyDescent="0.35">
      <c r="A406" s="1" t="s">
        <v>24</v>
      </c>
      <c r="B406" s="1" t="str">
        <f t="shared" si="18"/>
        <v>Axis Bank</v>
      </c>
      <c r="C406">
        <v>866</v>
      </c>
      <c r="D406">
        <v>866</v>
      </c>
      <c r="E406">
        <v>1999</v>
      </c>
      <c r="F406" s="2">
        <v>568450.17000000004</v>
      </c>
      <c r="G406" s="2">
        <v>494974.45</v>
      </c>
      <c r="H406" s="2">
        <v>2870</v>
      </c>
      <c r="I406" s="2">
        <v>400041.72</v>
      </c>
      <c r="J406" s="2">
        <v>166652.45000000001</v>
      </c>
      <c r="K406" s="3">
        <v>141654.38</v>
      </c>
      <c r="L406" s="3">
        <v>24998.07</v>
      </c>
      <c r="M406" s="3">
        <v>69441.58</v>
      </c>
      <c r="N406" s="4" t="s">
        <v>104</v>
      </c>
      <c r="O406" s="3" t="str">
        <f t="shared" si="19"/>
        <v>Online</v>
      </c>
      <c r="P406" s="11">
        <v>7636000</v>
      </c>
      <c r="Q406" s="3">
        <v>4604800000</v>
      </c>
      <c r="R406" s="3">
        <v>3157600000</v>
      </c>
      <c r="S406" s="11">
        <v>11700000</v>
      </c>
    </row>
    <row r="407" spans="1:19" x14ac:dyDescent="0.35">
      <c r="A407" s="1" t="s">
        <v>54</v>
      </c>
      <c r="B407" s="1" t="str">
        <f t="shared" ref="B407:B470" si="20">IF(ISNUMBER(SEARCH("AXIS",A407)),"Axis Bank",
IF(ISNUMBER(SEARCH("HDFC",A407)),"HDFC Bank",
IF(ISNUMBER(SEARCH("ICICI",A407)),"ICICI Bank",
IF(ISNUMBER(SEARCH("AU",A407)),"AU Bank",
IF(ISNUMBER(SEARCH("KOTAK",A407)),"Kotak Mahindra Bank",
IF(ISNUMBER(SEARCH("SBI",A407)),"State Bank of India",
IF(ISNUMBER(SEARCH("HSBC",A407)),"HSBC",
IF(ISNUMBER(SEARCH("DBS",A407)),"DBS Bank",
IF(ISNUMBER(SEARCH("SCAPIA",A407)),"Scapia",
IF(ISNUMBER(SEARCH("STANDARD CHARTERED",A407)),"Standard Chartered Bank",
IF(ISNUMBER(SEARCH("IDBI",A407)),"IDBI Bank",
IF(ISNUMBER(SEARCH("J&amp;K",A407)),"J&amp;K Bank",
IF(ISNUMBER(SEARCH("JAMMU",A407)),"J&amp;K Bank",
IF(ISNUMBER(SEARCH("FEDERAL",A407)),"Federal Bank",
IF(ISNUMBER(SEARCH("BOBCARD",A407)),"BOB Card",
IF(ISNUMBER(SEARCH("BANK OF BARODA",A407)),"BOB Card",
IF(ISNUMBER(SEARCH("AMEX",A407)),"American Express",
IF(ISNUMBER(SEARCH("PLATINUM",A407)),"American Express",
IF(ISNUMBER(SEARCH("CENTURION",A407)),"American Express",
IF(ISNUMBER(SEARCH("VISA",A407)),"Visa",
IF(ISNUMBER(SEARCH("MASTERCARD",A407)),"Mastercard",
"")))))))))))))))))))))</f>
        <v>BOB Card</v>
      </c>
      <c r="C407">
        <v>16</v>
      </c>
      <c r="D407">
        <v>0</v>
      </c>
      <c r="E407">
        <v>27</v>
      </c>
      <c r="F407" s="2">
        <v>14629</v>
      </c>
      <c r="G407" s="2">
        <v>13920</v>
      </c>
      <c r="H407" s="2">
        <v>650</v>
      </c>
      <c r="I407" s="2">
        <v>13258</v>
      </c>
      <c r="J407" s="2">
        <v>1371</v>
      </c>
      <c r="K407" s="3">
        <v>959.7</v>
      </c>
      <c r="L407" s="3">
        <v>411.3</v>
      </c>
      <c r="M407" s="3">
        <v>59</v>
      </c>
      <c r="N407" s="4" t="s">
        <v>104</v>
      </c>
      <c r="O407" s="3" t="str">
        <f t="shared" si="19"/>
        <v>Online</v>
      </c>
      <c r="P407" s="11">
        <v>7636000</v>
      </c>
      <c r="Q407" s="3">
        <v>4604800000</v>
      </c>
      <c r="R407" s="3">
        <v>3157600000</v>
      </c>
      <c r="S407" s="11">
        <v>11700000</v>
      </c>
    </row>
    <row r="408" spans="1:19" x14ac:dyDescent="0.35">
      <c r="A408" s="1" t="s">
        <v>55</v>
      </c>
      <c r="B408" s="1" t="str">
        <f t="shared" si="20"/>
        <v>BOB Card</v>
      </c>
      <c r="C408">
        <v>617</v>
      </c>
      <c r="D408">
        <v>0</v>
      </c>
      <c r="E408">
        <v>2014</v>
      </c>
      <c r="F408" s="2">
        <v>560154.88</v>
      </c>
      <c r="G408" s="2">
        <v>0</v>
      </c>
      <c r="H408" s="2">
        <v>560154.88</v>
      </c>
      <c r="I408" s="2">
        <v>504610.88</v>
      </c>
      <c r="J408" s="2">
        <v>55544</v>
      </c>
      <c r="K408" s="3">
        <v>38880.800000000003</v>
      </c>
      <c r="L408" s="3">
        <v>16663.2</v>
      </c>
      <c r="M408" s="3">
        <v>0</v>
      </c>
      <c r="N408" s="4" t="s">
        <v>104</v>
      </c>
      <c r="O408" s="3" t="str">
        <f t="shared" si="19"/>
        <v>Offline - F&amp;B</v>
      </c>
      <c r="P408" s="11">
        <v>7636000</v>
      </c>
      <c r="Q408" s="3">
        <v>4604800000</v>
      </c>
      <c r="R408" s="3">
        <v>3157600000</v>
      </c>
      <c r="S408" s="11">
        <v>11700000</v>
      </c>
    </row>
    <row r="409" spans="1:19" x14ac:dyDescent="0.35">
      <c r="A409" s="1" t="s">
        <v>72</v>
      </c>
      <c r="B409" s="1" t="str">
        <f t="shared" si="20"/>
        <v>BOB Card</v>
      </c>
      <c r="C409">
        <v>214</v>
      </c>
      <c r="D409">
        <v>0</v>
      </c>
      <c r="E409">
        <v>644</v>
      </c>
      <c r="F409" s="2">
        <v>181829.06</v>
      </c>
      <c r="G409" s="2">
        <v>182192.16</v>
      </c>
      <c r="H409" s="2">
        <v>0</v>
      </c>
      <c r="I409" s="2">
        <v>153047.06</v>
      </c>
      <c r="J409" s="2">
        <v>28782</v>
      </c>
      <c r="K409" s="3">
        <v>25328.16</v>
      </c>
      <c r="L409" s="3">
        <v>3453.84</v>
      </c>
      <c r="M409" s="3">
        <v>0</v>
      </c>
      <c r="N409" s="4" t="s">
        <v>104</v>
      </c>
      <c r="O409" s="3" t="str">
        <f t="shared" si="19"/>
        <v>Offline - Box Office</v>
      </c>
      <c r="P409" s="11">
        <v>7636000</v>
      </c>
      <c r="Q409" s="3">
        <v>4604800000</v>
      </c>
      <c r="R409" s="3">
        <v>3157600000</v>
      </c>
      <c r="S409" s="11">
        <v>11700000</v>
      </c>
    </row>
    <row r="410" spans="1:19" x14ac:dyDescent="0.35">
      <c r="A410" s="1" t="s">
        <v>56</v>
      </c>
      <c r="B410" s="1" t="str">
        <f t="shared" si="20"/>
        <v>BOB Card</v>
      </c>
      <c r="C410">
        <v>692</v>
      </c>
      <c r="D410">
        <v>0</v>
      </c>
      <c r="E410">
        <v>1846</v>
      </c>
      <c r="F410" s="2">
        <v>623179.06000000006</v>
      </c>
      <c r="G410" s="2">
        <v>535585.96</v>
      </c>
      <c r="H410" s="2">
        <v>11860</v>
      </c>
      <c r="I410" s="2">
        <v>530060.06000000006</v>
      </c>
      <c r="J410" s="2">
        <v>91523</v>
      </c>
      <c r="K410" s="3">
        <v>80540.240000000005</v>
      </c>
      <c r="L410" s="3">
        <v>10982.76</v>
      </c>
      <c r="M410" s="3">
        <v>74539.039999999994</v>
      </c>
      <c r="N410" s="4" t="s">
        <v>104</v>
      </c>
      <c r="O410" s="3" t="str">
        <f t="shared" si="19"/>
        <v>Online</v>
      </c>
      <c r="P410" s="11">
        <v>7636000</v>
      </c>
      <c r="Q410" s="3">
        <v>4604800000</v>
      </c>
      <c r="R410" s="3">
        <v>3157600000</v>
      </c>
      <c r="S410" s="11">
        <v>11700000</v>
      </c>
    </row>
    <row r="411" spans="1:19" x14ac:dyDescent="0.35">
      <c r="A411" s="1" t="s">
        <v>73</v>
      </c>
      <c r="B411" s="1" t="str">
        <f t="shared" si="20"/>
        <v>Federal Bank</v>
      </c>
      <c r="C411">
        <v>1041</v>
      </c>
      <c r="D411">
        <v>1041</v>
      </c>
      <c r="E411">
        <v>2815</v>
      </c>
      <c r="F411" s="2">
        <v>663206.64</v>
      </c>
      <c r="G411" s="2">
        <v>663551.35</v>
      </c>
      <c r="H411" s="2">
        <v>0</v>
      </c>
      <c r="I411" s="2">
        <v>559365.06000000006</v>
      </c>
      <c r="J411" s="2">
        <v>103841.58</v>
      </c>
      <c r="K411" s="3">
        <v>83073.25</v>
      </c>
      <c r="L411" s="3">
        <v>20768.330000000002</v>
      </c>
      <c r="M411" s="3">
        <v>0</v>
      </c>
      <c r="N411" s="4" t="s">
        <v>104</v>
      </c>
      <c r="O411" s="3" t="str">
        <f t="shared" si="19"/>
        <v>Offline - Box Office</v>
      </c>
      <c r="P411" s="11">
        <v>7636000</v>
      </c>
      <c r="Q411" s="3">
        <v>4604800000</v>
      </c>
      <c r="R411" s="3">
        <v>3157600000</v>
      </c>
      <c r="S411" s="11">
        <v>11700000</v>
      </c>
    </row>
    <row r="412" spans="1:19" x14ac:dyDescent="0.35">
      <c r="A412" s="1" t="s">
        <v>74</v>
      </c>
      <c r="B412" s="1" t="str">
        <f t="shared" si="20"/>
        <v>Federal Bank</v>
      </c>
      <c r="C412">
        <v>513</v>
      </c>
      <c r="D412">
        <v>513</v>
      </c>
      <c r="E412">
        <v>1251</v>
      </c>
      <c r="F412" s="2">
        <v>327181.51</v>
      </c>
      <c r="G412" s="2">
        <v>279613.25</v>
      </c>
      <c r="H412" s="2">
        <v>3540</v>
      </c>
      <c r="I412" s="2">
        <v>275633.34000000003</v>
      </c>
      <c r="J412" s="2">
        <v>50586.17</v>
      </c>
      <c r="K412" s="3">
        <v>40468.9</v>
      </c>
      <c r="L412" s="3">
        <v>10117.27</v>
      </c>
      <c r="M412" s="3">
        <v>43385.06</v>
      </c>
      <c r="N412" s="4" t="s">
        <v>104</v>
      </c>
      <c r="O412" s="3" t="str">
        <f t="shared" si="19"/>
        <v>Online</v>
      </c>
      <c r="P412" s="11">
        <v>7636000</v>
      </c>
      <c r="Q412" s="3">
        <v>4604800000</v>
      </c>
      <c r="R412" s="3">
        <v>3157600000</v>
      </c>
      <c r="S412" s="11">
        <v>11700000</v>
      </c>
    </row>
    <row r="413" spans="1:19" x14ac:dyDescent="0.35">
      <c r="A413" s="1" t="s">
        <v>27</v>
      </c>
      <c r="B413" s="1" t="str">
        <f t="shared" si="20"/>
        <v>Federal Bank</v>
      </c>
      <c r="C413">
        <v>47</v>
      </c>
      <c r="D413">
        <v>47</v>
      </c>
      <c r="E413">
        <v>132</v>
      </c>
      <c r="F413" s="2">
        <v>36314.69</v>
      </c>
      <c r="G413" s="2">
        <v>36314.69</v>
      </c>
      <c r="H413" s="2">
        <v>0</v>
      </c>
      <c r="I413" s="2">
        <v>31651.3</v>
      </c>
      <c r="J413" s="2">
        <v>4663.3900000000003</v>
      </c>
      <c r="K413" s="3">
        <v>4663.3900000000003</v>
      </c>
      <c r="L413" s="3">
        <v>0</v>
      </c>
      <c r="M413" s="3">
        <v>0</v>
      </c>
      <c r="N413" s="4" t="s">
        <v>104</v>
      </c>
      <c r="O413" s="3" t="str">
        <f t="shared" si="19"/>
        <v>Offline - Box Office</v>
      </c>
      <c r="P413" s="11">
        <v>7636000</v>
      </c>
      <c r="Q413" s="3">
        <v>4604800000</v>
      </c>
      <c r="R413" s="3">
        <v>3157600000</v>
      </c>
      <c r="S413" s="11">
        <v>11700000</v>
      </c>
    </row>
    <row r="414" spans="1:19" x14ac:dyDescent="0.35">
      <c r="A414" s="1" t="s">
        <v>28</v>
      </c>
      <c r="B414" s="1" t="str">
        <f t="shared" si="20"/>
        <v>Federal Bank</v>
      </c>
      <c r="C414">
        <v>50</v>
      </c>
      <c r="D414">
        <v>50</v>
      </c>
      <c r="E414">
        <v>137</v>
      </c>
      <c r="F414" s="2">
        <v>44877.72</v>
      </c>
      <c r="G414" s="2">
        <v>37768.94</v>
      </c>
      <c r="H414" s="2">
        <v>1650</v>
      </c>
      <c r="I414" s="2">
        <v>39793.78</v>
      </c>
      <c r="J414" s="2">
        <v>4959.9399999999996</v>
      </c>
      <c r="K414" s="3">
        <v>4959.9399999999996</v>
      </c>
      <c r="L414" s="3">
        <v>0</v>
      </c>
      <c r="M414" s="3">
        <v>5334.78</v>
      </c>
      <c r="N414" s="4" t="s">
        <v>104</v>
      </c>
      <c r="O414" s="3" t="str">
        <f t="shared" si="19"/>
        <v>Online</v>
      </c>
      <c r="P414" s="11">
        <v>7636000</v>
      </c>
      <c r="Q414" s="3">
        <v>4604800000</v>
      </c>
      <c r="R414" s="3">
        <v>3157600000</v>
      </c>
      <c r="S414" s="11">
        <v>11700000</v>
      </c>
    </row>
    <row r="415" spans="1:19" x14ac:dyDescent="0.35">
      <c r="A415" s="1" t="s">
        <v>29</v>
      </c>
      <c r="B415" s="1" t="str">
        <f t="shared" si="20"/>
        <v>Federal Bank</v>
      </c>
      <c r="C415">
        <v>294</v>
      </c>
      <c r="D415">
        <v>294</v>
      </c>
      <c r="E415">
        <v>789</v>
      </c>
      <c r="F415" s="2">
        <v>195378.45</v>
      </c>
      <c r="G415" s="2">
        <v>195627.1</v>
      </c>
      <c r="H415" s="2">
        <v>0</v>
      </c>
      <c r="I415" s="2">
        <v>166017.06</v>
      </c>
      <c r="J415" s="2">
        <v>29361.39</v>
      </c>
      <c r="K415" s="3">
        <v>29361.39</v>
      </c>
      <c r="L415" s="3">
        <v>0</v>
      </c>
      <c r="M415" s="3">
        <v>0</v>
      </c>
      <c r="N415" s="4" t="s">
        <v>104</v>
      </c>
      <c r="O415" s="3" t="str">
        <f t="shared" si="19"/>
        <v>Offline - Box Office</v>
      </c>
      <c r="P415" s="11">
        <v>7636000</v>
      </c>
      <c r="Q415" s="3">
        <v>4604800000</v>
      </c>
      <c r="R415" s="3">
        <v>3157600000</v>
      </c>
      <c r="S415" s="11">
        <v>11700000</v>
      </c>
    </row>
    <row r="416" spans="1:19" x14ac:dyDescent="0.35">
      <c r="A416" s="1" t="s">
        <v>30</v>
      </c>
      <c r="B416" s="1" t="str">
        <f t="shared" si="20"/>
        <v>Federal Bank</v>
      </c>
      <c r="C416">
        <v>127</v>
      </c>
      <c r="D416">
        <v>127</v>
      </c>
      <c r="E416">
        <v>322</v>
      </c>
      <c r="F416" s="2">
        <v>101227.39</v>
      </c>
      <c r="G416" s="2">
        <v>87879.21</v>
      </c>
      <c r="H416" s="2">
        <v>550</v>
      </c>
      <c r="I416" s="2">
        <v>88296.45</v>
      </c>
      <c r="J416" s="2">
        <v>12658.94</v>
      </c>
      <c r="K416" s="3">
        <v>12658.94</v>
      </c>
      <c r="L416" s="3">
        <v>0</v>
      </c>
      <c r="M416" s="3">
        <v>12526.18</v>
      </c>
      <c r="N416" s="4" t="s">
        <v>104</v>
      </c>
      <c r="O416" s="3" t="str">
        <f t="shared" si="19"/>
        <v>Online</v>
      </c>
      <c r="P416" s="11">
        <v>7636000</v>
      </c>
      <c r="Q416" s="3">
        <v>4604800000</v>
      </c>
      <c r="R416" s="3">
        <v>3157600000</v>
      </c>
      <c r="S416" s="11">
        <v>11700000</v>
      </c>
    </row>
    <row r="417" spans="1:19" x14ac:dyDescent="0.35">
      <c r="A417" s="1" t="s">
        <v>31</v>
      </c>
      <c r="B417" s="1" t="str">
        <f t="shared" si="20"/>
        <v>HSBC</v>
      </c>
      <c r="C417">
        <v>1</v>
      </c>
      <c r="D417">
        <v>0</v>
      </c>
      <c r="E417">
        <v>2</v>
      </c>
      <c r="F417" s="2">
        <v>1681</v>
      </c>
      <c r="G417" s="2">
        <v>1500</v>
      </c>
      <c r="H417" s="2">
        <v>0</v>
      </c>
      <c r="I417" s="2">
        <v>1527</v>
      </c>
      <c r="J417" s="2">
        <v>150</v>
      </c>
      <c r="K417" s="3">
        <v>75</v>
      </c>
      <c r="L417" s="3">
        <v>75</v>
      </c>
      <c r="M417" s="3">
        <v>177</v>
      </c>
      <c r="N417" s="4" t="s">
        <v>104</v>
      </c>
      <c r="O417" s="3" t="str">
        <f t="shared" si="19"/>
        <v>Online</v>
      </c>
      <c r="P417" s="11">
        <v>7636000</v>
      </c>
      <c r="Q417" s="3">
        <v>4604800000</v>
      </c>
      <c r="R417" s="3">
        <v>3157600000</v>
      </c>
      <c r="S417" s="11">
        <v>11700000</v>
      </c>
    </row>
    <row r="418" spans="1:19" x14ac:dyDescent="0.35">
      <c r="A418" s="1" t="s">
        <v>32</v>
      </c>
      <c r="B418" s="1" t="str">
        <f t="shared" si="20"/>
        <v>ICICI Bank</v>
      </c>
      <c r="C418">
        <v>3759</v>
      </c>
      <c r="D418">
        <v>0</v>
      </c>
      <c r="E418">
        <v>10794</v>
      </c>
      <c r="F418" s="2">
        <v>2837033.99</v>
      </c>
      <c r="G418" s="2">
        <v>2841898.45</v>
      </c>
      <c r="H418" s="2">
        <v>0</v>
      </c>
      <c r="I418" s="2">
        <v>2448789.9900000002</v>
      </c>
      <c r="J418" s="2">
        <v>388244</v>
      </c>
      <c r="K418" s="3">
        <v>341654.72</v>
      </c>
      <c r="L418" s="3">
        <v>46589.279999999999</v>
      </c>
      <c r="M418" s="3">
        <v>0</v>
      </c>
      <c r="N418" s="4" t="s">
        <v>104</v>
      </c>
      <c r="O418" s="3" t="str">
        <f t="shared" si="19"/>
        <v>Offline - Box Office</v>
      </c>
      <c r="P418" s="11">
        <v>7636000</v>
      </c>
      <c r="Q418" s="3">
        <v>4604800000</v>
      </c>
      <c r="R418" s="3">
        <v>3157600000</v>
      </c>
      <c r="S418" s="11">
        <v>11700000</v>
      </c>
    </row>
    <row r="419" spans="1:19" x14ac:dyDescent="0.35">
      <c r="A419" s="1" t="s">
        <v>33</v>
      </c>
      <c r="B419" s="1" t="str">
        <f t="shared" si="20"/>
        <v>ICICI Bank</v>
      </c>
      <c r="C419">
        <v>1291</v>
      </c>
      <c r="D419">
        <v>0</v>
      </c>
      <c r="E419">
        <v>3481</v>
      </c>
      <c r="F419" s="2">
        <v>1107823.05</v>
      </c>
      <c r="G419" s="2">
        <v>956944.97</v>
      </c>
      <c r="H419" s="2">
        <v>18688</v>
      </c>
      <c r="I419" s="2">
        <v>967057.05</v>
      </c>
      <c r="J419" s="2">
        <v>137654</v>
      </c>
      <c r="K419" s="3">
        <v>117005.9</v>
      </c>
      <c r="L419" s="3">
        <v>20648.099999999999</v>
      </c>
      <c r="M419" s="3">
        <v>130900.92</v>
      </c>
      <c r="N419" s="4" t="s">
        <v>104</v>
      </c>
      <c r="O419" s="3" t="str">
        <f t="shared" si="19"/>
        <v>Online</v>
      </c>
      <c r="P419" s="11">
        <v>7636000</v>
      </c>
      <c r="Q419" s="3">
        <v>4604800000</v>
      </c>
      <c r="R419" s="3">
        <v>3157600000</v>
      </c>
      <c r="S419" s="11">
        <v>11700000</v>
      </c>
    </row>
    <row r="420" spans="1:19" x14ac:dyDescent="0.35">
      <c r="A420" s="1" t="s">
        <v>34</v>
      </c>
      <c r="B420" s="1" t="str">
        <f t="shared" si="20"/>
        <v>ICICI Bank</v>
      </c>
      <c r="C420">
        <v>469</v>
      </c>
      <c r="D420">
        <v>0</v>
      </c>
      <c r="E420">
        <v>1274</v>
      </c>
      <c r="F420" s="2">
        <v>372619.3</v>
      </c>
      <c r="G420" s="2">
        <v>373326.32</v>
      </c>
      <c r="H420" s="2">
        <v>0</v>
      </c>
      <c r="I420" s="2">
        <v>347389.3</v>
      </c>
      <c r="J420" s="2">
        <v>25230</v>
      </c>
      <c r="K420" s="3">
        <v>22202.400000000001</v>
      </c>
      <c r="L420" s="3">
        <v>3027.6</v>
      </c>
      <c r="M420" s="3">
        <v>0</v>
      </c>
      <c r="N420" s="4" t="s">
        <v>104</v>
      </c>
      <c r="O420" s="3" t="str">
        <f t="shared" si="19"/>
        <v>Offline - Box Office</v>
      </c>
      <c r="P420" s="11">
        <v>7636000</v>
      </c>
      <c r="Q420" s="3">
        <v>4604800000</v>
      </c>
      <c r="R420" s="3">
        <v>3157600000</v>
      </c>
      <c r="S420" s="11">
        <v>11700000</v>
      </c>
    </row>
    <row r="421" spans="1:19" x14ac:dyDescent="0.35">
      <c r="A421" s="1" t="s">
        <v>35</v>
      </c>
      <c r="B421" s="1" t="str">
        <f t="shared" si="20"/>
        <v>ICICI Bank</v>
      </c>
      <c r="C421">
        <v>145</v>
      </c>
      <c r="D421">
        <v>0</v>
      </c>
      <c r="E421">
        <v>368</v>
      </c>
      <c r="F421" s="2">
        <v>130853.59</v>
      </c>
      <c r="G421" s="2">
        <v>110813.35</v>
      </c>
      <c r="H421" s="2">
        <v>5060</v>
      </c>
      <c r="I421" s="2">
        <v>122143.59</v>
      </c>
      <c r="J421" s="2">
        <v>8370</v>
      </c>
      <c r="K421" s="3">
        <v>7114.5</v>
      </c>
      <c r="L421" s="3">
        <v>1255.5</v>
      </c>
      <c r="M421" s="3">
        <v>14816.42</v>
      </c>
      <c r="N421" s="4" t="s">
        <v>104</v>
      </c>
      <c r="O421" s="3" t="str">
        <f t="shared" si="19"/>
        <v>Online</v>
      </c>
      <c r="P421" s="11">
        <v>7636000</v>
      </c>
      <c r="Q421" s="3">
        <v>4604800000</v>
      </c>
      <c r="R421" s="3">
        <v>3157600000</v>
      </c>
      <c r="S421" s="11">
        <v>11700000</v>
      </c>
    </row>
    <row r="422" spans="1:19" x14ac:dyDescent="0.35">
      <c r="A422" s="1" t="s">
        <v>48</v>
      </c>
      <c r="B422" s="1" t="str">
        <f t="shared" si="20"/>
        <v>IDBI Bank</v>
      </c>
      <c r="C422">
        <v>114</v>
      </c>
      <c r="D422">
        <v>0</v>
      </c>
      <c r="E422">
        <v>263</v>
      </c>
      <c r="F422" s="2">
        <v>69222.5</v>
      </c>
      <c r="G422" s="2">
        <v>69222.5</v>
      </c>
      <c r="H422" s="2">
        <v>0</v>
      </c>
      <c r="I422" s="2">
        <v>56534.5</v>
      </c>
      <c r="J422" s="2">
        <v>12688</v>
      </c>
      <c r="K422" s="3">
        <v>12688</v>
      </c>
      <c r="L422" s="3">
        <v>0</v>
      </c>
      <c r="M422" s="3">
        <v>0</v>
      </c>
      <c r="N422" s="4" t="s">
        <v>104</v>
      </c>
      <c r="O422" s="3" t="str">
        <f t="shared" si="19"/>
        <v>Offline - Box Office</v>
      </c>
      <c r="P422" s="11">
        <v>7636000</v>
      </c>
      <c r="Q422" s="3">
        <v>4604800000</v>
      </c>
      <c r="R422" s="3">
        <v>3157600000</v>
      </c>
      <c r="S422" s="11">
        <v>11700000</v>
      </c>
    </row>
    <row r="423" spans="1:19" x14ac:dyDescent="0.35">
      <c r="A423" s="1" t="s">
        <v>37</v>
      </c>
      <c r="B423" s="1" t="str">
        <f t="shared" si="20"/>
        <v>IDBI Bank</v>
      </c>
      <c r="C423">
        <v>48</v>
      </c>
      <c r="D423">
        <v>0</v>
      </c>
      <c r="E423">
        <v>122</v>
      </c>
      <c r="F423" s="2">
        <v>37890.86</v>
      </c>
      <c r="G423" s="2">
        <v>31330.6</v>
      </c>
      <c r="H423" s="2">
        <v>2080</v>
      </c>
      <c r="I423" s="2">
        <v>32051.86</v>
      </c>
      <c r="J423" s="2">
        <v>5737</v>
      </c>
      <c r="K423" s="3">
        <v>5737</v>
      </c>
      <c r="L423" s="3">
        <v>0</v>
      </c>
      <c r="M423" s="3">
        <v>4378.26</v>
      </c>
      <c r="N423" s="4" t="s">
        <v>104</v>
      </c>
      <c r="O423" s="3" t="str">
        <f t="shared" si="19"/>
        <v>Online</v>
      </c>
      <c r="P423" s="11">
        <v>7636000</v>
      </c>
      <c r="Q423" s="3">
        <v>4604800000</v>
      </c>
      <c r="R423" s="3">
        <v>3157600000</v>
      </c>
      <c r="S423" s="11">
        <v>11700000</v>
      </c>
    </row>
    <row r="424" spans="1:19" x14ac:dyDescent="0.35">
      <c r="A424" s="1" t="s">
        <v>49</v>
      </c>
      <c r="B424" s="1" t="str">
        <f t="shared" si="20"/>
        <v>IDBI Bank</v>
      </c>
      <c r="C424">
        <v>188</v>
      </c>
      <c r="D424">
        <v>0</v>
      </c>
      <c r="E424">
        <v>457</v>
      </c>
      <c r="F424" s="2">
        <v>107239.09</v>
      </c>
      <c r="G424" s="2">
        <v>0</v>
      </c>
      <c r="H424" s="2">
        <v>107239.09</v>
      </c>
      <c r="I424" s="2">
        <v>86313.09</v>
      </c>
      <c r="J424" s="2">
        <v>20926</v>
      </c>
      <c r="K424" s="3">
        <v>14648.2</v>
      </c>
      <c r="L424" s="3">
        <v>6277.8</v>
      </c>
      <c r="M424" s="3">
        <v>0</v>
      </c>
      <c r="N424" s="4" t="s">
        <v>104</v>
      </c>
      <c r="O424" s="3" t="str">
        <f t="shared" si="19"/>
        <v>Offline - F&amp;B</v>
      </c>
      <c r="P424" s="11">
        <v>7636000</v>
      </c>
      <c r="Q424" s="3">
        <v>4604800000</v>
      </c>
      <c r="R424" s="3">
        <v>3157600000</v>
      </c>
      <c r="S424" s="11">
        <v>11700000</v>
      </c>
    </row>
    <row r="425" spans="1:19" x14ac:dyDescent="0.35">
      <c r="A425" s="1" t="s">
        <v>87</v>
      </c>
      <c r="B425" s="1" t="str">
        <f t="shared" si="20"/>
        <v>J&amp;K Bank</v>
      </c>
      <c r="C425">
        <v>5</v>
      </c>
      <c r="D425">
        <v>0</v>
      </c>
      <c r="E425">
        <v>14</v>
      </c>
      <c r="F425" s="2">
        <v>4901.32</v>
      </c>
      <c r="G425" s="2">
        <v>4200</v>
      </c>
      <c r="H425" s="2">
        <v>0</v>
      </c>
      <c r="I425" s="2">
        <v>2777.32</v>
      </c>
      <c r="J425" s="2">
        <v>2100</v>
      </c>
      <c r="K425" s="3">
        <v>2100</v>
      </c>
      <c r="L425" s="3">
        <v>0</v>
      </c>
      <c r="M425" s="3">
        <v>677.32</v>
      </c>
      <c r="N425" s="4" t="s">
        <v>104</v>
      </c>
      <c r="O425" s="3" t="str">
        <f t="shared" si="19"/>
        <v>Online</v>
      </c>
      <c r="P425" s="11">
        <v>7636000</v>
      </c>
      <c r="Q425" s="3">
        <v>4604800000</v>
      </c>
      <c r="R425" s="3">
        <v>3157600000</v>
      </c>
      <c r="S425" s="11">
        <v>11700000</v>
      </c>
    </row>
    <row r="426" spans="1:19" x14ac:dyDescent="0.35">
      <c r="A426" s="1" t="s">
        <v>75</v>
      </c>
      <c r="B426" s="1" t="str">
        <f t="shared" si="20"/>
        <v>J&amp;K Bank</v>
      </c>
      <c r="C426">
        <v>22</v>
      </c>
      <c r="D426">
        <v>0</v>
      </c>
      <c r="E426">
        <v>75</v>
      </c>
      <c r="F426" s="2">
        <v>31250.26</v>
      </c>
      <c r="G426" s="2">
        <v>25086</v>
      </c>
      <c r="H426" s="2">
        <v>2430</v>
      </c>
      <c r="I426" s="2">
        <v>20932.259999999998</v>
      </c>
      <c r="J426" s="2">
        <v>10250</v>
      </c>
      <c r="K426" s="3">
        <v>9737.5</v>
      </c>
      <c r="L426" s="3">
        <v>512.5</v>
      </c>
      <c r="M426" s="3">
        <v>3666.26</v>
      </c>
      <c r="N426" s="4" t="s">
        <v>104</v>
      </c>
      <c r="O426" s="3" t="str">
        <f t="shared" si="19"/>
        <v>Online</v>
      </c>
      <c r="P426" s="11">
        <v>7636000</v>
      </c>
      <c r="Q426" s="3">
        <v>4604800000</v>
      </c>
      <c r="R426" s="3">
        <v>3157600000</v>
      </c>
      <c r="S426" s="11">
        <v>11700000</v>
      </c>
    </row>
    <row r="427" spans="1:19" x14ac:dyDescent="0.35">
      <c r="A427" s="1" t="s">
        <v>88</v>
      </c>
      <c r="B427" s="1" t="str">
        <f t="shared" si="20"/>
        <v>J&amp;K Bank</v>
      </c>
      <c r="C427">
        <v>1</v>
      </c>
      <c r="D427">
        <v>0</v>
      </c>
      <c r="E427">
        <v>3</v>
      </c>
      <c r="F427" s="2">
        <v>930</v>
      </c>
      <c r="G427" s="2">
        <v>930</v>
      </c>
      <c r="H427" s="2">
        <v>0</v>
      </c>
      <c r="I427" s="2">
        <v>465</v>
      </c>
      <c r="J427" s="2">
        <v>465</v>
      </c>
      <c r="K427" s="3">
        <v>441.75</v>
      </c>
      <c r="L427" s="3">
        <v>23.25</v>
      </c>
      <c r="M427" s="3">
        <v>0</v>
      </c>
      <c r="N427" s="4" t="s">
        <v>104</v>
      </c>
      <c r="O427" s="3" t="str">
        <f t="shared" si="19"/>
        <v>Offline - Box Office</v>
      </c>
      <c r="P427" s="11">
        <v>7636000</v>
      </c>
      <c r="Q427" s="3">
        <v>4604800000</v>
      </c>
      <c r="R427" s="3">
        <v>3157600000</v>
      </c>
      <c r="S427" s="11">
        <v>11700000</v>
      </c>
    </row>
    <row r="428" spans="1:19" x14ac:dyDescent="0.35">
      <c r="A428" s="1" t="s">
        <v>77</v>
      </c>
      <c r="B428" s="1" t="str">
        <f t="shared" si="20"/>
        <v>J&amp;K Bank</v>
      </c>
      <c r="C428">
        <v>85</v>
      </c>
      <c r="D428">
        <v>0</v>
      </c>
      <c r="E428">
        <v>246</v>
      </c>
      <c r="F428" s="2">
        <v>102837.82</v>
      </c>
      <c r="G428" s="2">
        <v>87731</v>
      </c>
      <c r="H428" s="2">
        <v>2340</v>
      </c>
      <c r="I428" s="2">
        <v>63971.82</v>
      </c>
      <c r="J428" s="2">
        <v>38610</v>
      </c>
      <c r="K428" s="3">
        <v>36679.5</v>
      </c>
      <c r="L428" s="3">
        <v>1930.5</v>
      </c>
      <c r="M428" s="3">
        <v>12510.82</v>
      </c>
      <c r="N428" s="4" t="s">
        <v>104</v>
      </c>
      <c r="O428" s="3" t="str">
        <f t="shared" si="19"/>
        <v>Online</v>
      </c>
      <c r="P428" s="11">
        <v>7636000</v>
      </c>
      <c r="Q428" s="3">
        <v>4604800000</v>
      </c>
      <c r="R428" s="3">
        <v>3157600000</v>
      </c>
      <c r="S428" s="11">
        <v>11700000</v>
      </c>
    </row>
    <row r="429" spans="1:19" x14ac:dyDescent="0.35">
      <c r="A429" s="1" t="s">
        <v>51</v>
      </c>
      <c r="B429" s="1" t="str">
        <f t="shared" si="20"/>
        <v>Kotak Mahindra Bank</v>
      </c>
      <c r="C429">
        <v>35</v>
      </c>
      <c r="D429">
        <v>0</v>
      </c>
      <c r="E429">
        <v>71</v>
      </c>
      <c r="F429" s="2">
        <v>53983.68</v>
      </c>
      <c r="G429" s="2">
        <v>48886</v>
      </c>
      <c r="H429" s="2">
        <v>0</v>
      </c>
      <c r="I429" s="2">
        <v>41970.68</v>
      </c>
      <c r="J429" s="2">
        <v>11961</v>
      </c>
      <c r="K429" s="3">
        <v>9568.7999999999993</v>
      </c>
      <c r="L429" s="3">
        <v>2392.1999999999998</v>
      </c>
      <c r="M429" s="3">
        <v>5045.68</v>
      </c>
      <c r="N429" s="4" t="s">
        <v>104</v>
      </c>
      <c r="O429" s="3" t="str">
        <f t="shared" si="19"/>
        <v>Online</v>
      </c>
      <c r="P429" s="11">
        <v>7636000</v>
      </c>
      <c r="Q429" s="3">
        <v>4604800000</v>
      </c>
      <c r="R429" s="3">
        <v>3157600000</v>
      </c>
      <c r="S429" s="11">
        <v>11700000</v>
      </c>
    </row>
    <row r="430" spans="1:19" x14ac:dyDescent="0.35">
      <c r="A430" s="1" t="s">
        <v>52</v>
      </c>
      <c r="B430" s="1" t="str">
        <f t="shared" si="20"/>
        <v>Kotak Mahindra Bank</v>
      </c>
      <c r="C430">
        <v>16</v>
      </c>
      <c r="D430">
        <v>16</v>
      </c>
      <c r="E430">
        <v>36</v>
      </c>
      <c r="F430" s="2">
        <v>37775.160000000003</v>
      </c>
      <c r="G430" s="2">
        <v>34940</v>
      </c>
      <c r="H430" s="2">
        <v>0</v>
      </c>
      <c r="I430" s="2">
        <v>26807.16</v>
      </c>
      <c r="J430" s="2">
        <v>10920</v>
      </c>
      <c r="K430" s="3">
        <v>10920</v>
      </c>
      <c r="L430" s="3">
        <v>0</v>
      </c>
      <c r="M430" s="3">
        <v>2787.16</v>
      </c>
      <c r="N430" s="4" t="s">
        <v>104</v>
      </c>
      <c r="O430" s="3" t="str">
        <f t="shared" si="19"/>
        <v>Online</v>
      </c>
      <c r="P430" s="11">
        <v>7636000</v>
      </c>
      <c r="Q430" s="3">
        <v>4604800000</v>
      </c>
      <c r="R430" s="3">
        <v>3157600000</v>
      </c>
      <c r="S430" s="11">
        <v>11700000</v>
      </c>
    </row>
    <row r="431" spans="1:19" x14ac:dyDescent="0.35">
      <c r="A431" s="1" t="s">
        <v>38</v>
      </c>
      <c r="B431" s="1" t="str">
        <f t="shared" si="20"/>
        <v>Kotak Mahindra Bank</v>
      </c>
      <c r="C431">
        <v>14032</v>
      </c>
      <c r="D431">
        <v>0</v>
      </c>
      <c r="E431">
        <v>33264</v>
      </c>
      <c r="F431" s="2">
        <v>8099857.8499999996</v>
      </c>
      <c r="G431" s="2">
        <v>295956.59000000003</v>
      </c>
      <c r="H431" s="2">
        <v>7799830.3600000003</v>
      </c>
      <c r="I431" s="2">
        <v>6486365.8499999996</v>
      </c>
      <c r="J431" s="2">
        <v>1613404</v>
      </c>
      <c r="K431" s="3">
        <v>0</v>
      </c>
      <c r="L431" s="3">
        <v>1613404</v>
      </c>
      <c r="M431" s="3">
        <v>4033.24</v>
      </c>
      <c r="N431" s="4" t="s">
        <v>104</v>
      </c>
      <c r="O431" s="3" t="str">
        <f t="shared" si="19"/>
        <v>Other</v>
      </c>
      <c r="P431" s="11">
        <v>7636000</v>
      </c>
      <c r="Q431" s="3">
        <v>4604800000</v>
      </c>
      <c r="R431" s="3">
        <v>3157600000</v>
      </c>
      <c r="S431" s="11">
        <v>11700000</v>
      </c>
    </row>
    <row r="432" spans="1:19" x14ac:dyDescent="0.35">
      <c r="A432" s="1" t="s">
        <v>58</v>
      </c>
      <c r="B432" s="1" t="str">
        <f t="shared" si="20"/>
        <v>Kotak Mahindra Bank</v>
      </c>
      <c r="C432">
        <v>2805</v>
      </c>
      <c r="D432">
        <v>0</v>
      </c>
      <c r="E432">
        <v>6547</v>
      </c>
      <c r="F432" s="2">
        <v>1895638.36</v>
      </c>
      <c r="G432" s="2">
        <v>1800076.33</v>
      </c>
      <c r="H432" s="2">
        <v>1850</v>
      </c>
      <c r="I432" s="2">
        <v>1828067.32</v>
      </c>
      <c r="J432" s="2">
        <v>66197</v>
      </c>
      <c r="K432" s="3">
        <v>0</v>
      </c>
      <c r="L432" s="3">
        <v>66197</v>
      </c>
      <c r="M432" s="3">
        <v>93088.5</v>
      </c>
      <c r="N432" s="4" t="s">
        <v>104</v>
      </c>
      <c r="O432" s="3" t="str">
        <f t="shared" si="19"/>
        <v>Other</v>
      </c>
      <c r="P432" s="11">
        <v>7636000</v>
      </c>
      <c r="Q432" s="3">
        <v>4604800000</v>
      </c>
      <c r="R432" s="3">
        <v>3157600000</v>
      </c>
      <c r="S432" s="11">
        <v>11700000</v>
      </c>
    </row>
    <row r="433" spans="1:19" x14ac:dyDescent="0.35">
      <c r="A433" s="1" t="s">
        <v>80</v>
      </c>
      <c r="B433" s="1" t="str">
        <f t="shared" si="20"/>
        <v>State Bank of India</v>
      </c>
      <c r="C433">
        <v>916</v>
      </c>
      <c r="D433">
        <v>0</v>
      </c>
      <c r="E433">
        <v>2863</v>
      </c>
      <c r="F433" s="2">
        <v>822046.85</v>
      </c>
      <c r="G433" s="2">
        <v>823580.6</v>
      </c>
      <c r="H433" s="2">
        <v>0</v>
      </c>
      <c r="I433" s="2">
        <v>751603.85</v>
      </c>
      <c r="J433" s="2">
        <v>70443</v>
      </c>
      <c r="K433" s="3">
        <v>35221.5</v>
      </c>
      <c r="L433" s="3">
        <v>35221.5</v>
      </c>
      <c r="M433" s="3">
        <v>0</v>
      </c>
      <c r="N433" s="4" t="s">
        <v>104</v>
      </c>
      <c r="O433" s="3" t="str">
        <f t="shared" si="19"/>
        <v>Offline - Box Office</v>
      </c>
      <c r="P433" s="11">
        <v>7636000</v>
      </c>
      <c r="Q433" s="3">
        <v>4604800000</v>
      </c>
      <c r="R433" s="3">
        <v>3157600000</v>
      </c>
      <c r="S433" s="11">
        <v>11700000</v>
      </c>
    </row>
    <row r="434" spans="1:19" x14ac:dyDescent="0.35">
      <c r="A434" s="1" t="s">
        <v>65</v>
      </c>
      <c r="B434" s="1" t="str">
        <f t="shared" si="20"/>
        <v>State Bank of India</v>
      </c>
      <c r="C434">
        <v>940</v>
      </c>
      <c r="D434">
        <v>0</v>
      </c>
      <c r="E434">
        <v>2764</v>
      </c>
      <c r="F434" s="2">
        <v>966639.19</v>
      </c>
      <c r="G434" s="2">
        <v>823533.23</v>
      </c>
      <c r="H434" s="2">
        <v>29228</v>
      </c>
      <c r="I434" s="2">
        <v>890446.19</v>
      </c>
      <c r="J434" s="2">
        <v>74263</v>
      </c>
      <c r="K434" s="3">
        <v>37131.5</v>
      </c>
      <c r="L434" s="3">
        <v>37131.5</v>
      </c>
      <c r="M434" s="3">
        <v>112321.68</v>
      </c>
      <c r="N434" s="4" t="s">
        <v>104</v>
      </c>
      <c r="O434" s="3" t="str">
        <f t="shared" si="19"/>
        <v>Online</v>
      </c>
      <c r="P434" s="11">
        <v>7636000</v>
      </c>
      <c r="Q434" s="3">
        <v>4604800000</v>
      </c>
      <c r="R434" s="3">
        <v>3157600000</v>
      </c>
      <c r="S434" s="11">
        <v>11700000</v>
      </c>
    </row>
    <row r="435" spans="1:19" x14ac:dyDescent="0.35">
      <c r="A435" s="1" t="s">
        <v>66</v>
      </c>
      <c r="B435" s="1" t="str">
        <f t="shared" si="20"/>
        <v>State Bank of India</v>
      </c>
      <c r="C435">
        <v>5373</v>
      </c>
      <c r="D435">
        <v>0</v>
      </c>
      <c r="E435">
        <v>18274</v>
      </c>
      <c r="F435" s="2">
        <v>4769958.95</v>
      </c>
      <c r="G435" s="2">
        <v>0</v>
      </c>
      <c r="H435" s="2">
        <v>4769958.95</v>
      </c>
      <c r="I435" s="2">
        <v>4353814.95</v>
      </c>
      <c r="J435" s="2">
        <v>416144</v>
      </c>
      <c r="K435" s="3">
        <v>208072</v>
      </c>
      <c r="L435" s="3">
        <v>208072</v>
      </c>
      <c r="M435" s="3">
        <v>0</v>
      </c>
      <c r="N435" s="4" t="s">
        <v>104</v>
      </c>
      <c r="O435" s="3" t="str">
        <f t="shared" si="19"/>
        <v>Offline - F&amp;B</v>
      </c>
      <c r="P435" s="11">
        <v>7636000</v>
      </c>
      <c r="Q435" s="3">
        <v>4604800000</v>
      </c>
      <c r="R435" s="3">
        <v>3157600000</v>
      </c>
      <c r="S435" s="11">
        <v>11700000</v>
      </c>
    </row>
    <row r="436" spans="1:19" x14ac:dyDescent="0.35">
      <c r="A436" s="1" t="s">
        <v>101</v>
      </c>
      <c r="B436" s="1" t="str">
        <f t="shared" si="20"/>
        <v>Scapia</v>
      </c>
      <c r="C436">
        <v>31</v>
      </c>
      <c r="D436">
        <v>0</v>
      </c>
      <c r="E436">
        <v>46</v>
      </c>
      <c r="F436" s="2">
        <v>22613.16</v>
      </c>
      <c r="G436" s="2">
        <v>20750</v>
      </c>
      <c r="H436" s="2">
        <v>1670</v>
      </c>
      <c r="I436" s="2">
        <v>18603.16</v>
      </c>
      <c r="J436" s="2">
        <v>4008</v>
      </c>
      <c r="K436" s="3">
        <v>2805.6</v>
      </c>
      <c r="L436" s="3">
        <v>1202.4000000000001</v>
      </c>
      <c r="M436" s="3">
        <v>191.16</v>
      </c>
      <c r="N436" s="4" t="s">
        <v>104</v>
      </c>
      <c r="O436" s="3" t="str">
        <f t="shared" si="19"/>
        <v>Online</v>
      </c>
      <c r="P436" s="11">
        <v>7636000</v>
      </c>
      <c r="Q436" s="3">
        <v>4604800000</v>
      </c>
      <c r="R436" s="3">
        <v>3157600000</v>
      </c>
      <c r="S436" s="11">
        <v>11700000</v>
      </c>
    </row>
    <row r="437" spans="1:19" x14ac:dyDescent="0.35">
      <c r="A437" s="1" t="s">
        <v>102</v>
      </c>
      <c r="B437" s="1" t="str">
        <f t="shared" si="20"/>
        <v>Scapia</v>
      </c>
      <c r="C437">
        <v>270</v>
      </c>
      <c r="D437">
        <v>0</v>
      </c>
      <c r="E437">
        <v>606</v>
      </c>
      <c r="F437" s="2">
        <v>168308.13</v>
      </c>
      <c r="G437" s="2">
        <v>0</v>
      </c>
      <c r="H437" s="2">
        <v>168308.13</v>
      </c>
      <c r="I437" s="2">
        <v>137139.13</v>
      </c>
      <c r="J437" s="2">
        <v>31169</v>
      </c>
      <c r="K437" s="3">
        <v>21818.3</v>
      </c>
      <c r="L437" s="3">
        <v>9350.7000000000007</v>
      </c>
      <c r="M437" s="3">
        <v>0</v>
      </c>
      <c r="N437" s="4" t="s">
        <v>104</v>
      </c>
      <c r="O437" s="3" t="str">
        <f t="shared" si="19"/>
        <v>Offline - F&amp;B</v>
      </c>
      <c r="P437" s="11">
        <v>7636000</v>
      </c>
      <c r="Q437" s="3">
        <v>4604800000</v>
      </c>
      <c r="R437" s="3">
        <v>3157600000</v>
      </c>
      <c r="S437" s="11">
        <v>11700000</v>
      </c>
    </row>
    <row r="438" spans="1:19" x14ac:dyDescent="0.35">
      <c r="A438" s="1" t="s">
        <v>103</v>
      </c>
      <c r="B438" s="1" t="str">
        <f t="shared" si="20"/>
        <v>Scapia</v>
      </c>
      <c r="C438">
        <v>41</v>
      </c>
      <c r="D438">
        <v>41</v>
      </c>
      <c r="E438">
        <v>111</v>
      </c>
      <c r="F438" s="2">
        <v>33898.5</v>
      </c>
      <c r="G438" s="2">
        <v>33898.5</v>
      </c>
      <c r="H438" s="2">
        <v>0</v>
      </c>
      <c r="I438" s="2">
        <v>29798.5</v>
      </c>
      <c r="J438" s="2">
        <v>4100</v>
      </c>
      <c r="K438" s="3">
        <v>4100</v>
      </c>
      <c r="L438" s="3">
        <v>0</v>
      </c>
      <c r="M438" s="3">
        <v>0</v>
      </c>
      <c r="N438" s="4" t="s">
        <v>104</v>
      </c>
      <c r="O438" s="3" t="str">
        <f t="shared" si="19"/>
        <v>Offline - Box Office</v>
      </c>
      <c r="P438" s="11">
        <v>7636000</v>
      </c>
      <c r="Q438" s="3">
        <v>4604800000</v>
      </c>
      <c r="R438" s="3">
        <v>3157600000</v>
      </c>
      <c r="S438" s="11">
        <v>11700000</v>
      </c>
    </row>
    <row r="439" spans="1:19" x14ac:dyDescent="0.35">
      <c r="A439" s="1" t="s">
        <v>81</v>
      </c>
      <c r="B439" s="1" t="str">
        <f t="shared" si="20"/>
        <v>Scapia</v>
      </c>
      <c r="C439">
        <v>156</v>
      </c>
      <c r="D439">
        <v>156</v>
      </c>
      <c r="E439">
        <v>390</v>
      </c>
      <c r="F439" s="2">
        <v>121256.88</v>
      </c>
      <c r="G439" s="2">
        <v>105412.5</v>
      </c>
      <c r="H439" s="2">
        <v>610</v>
      </c>
      <c r="I439" s="2">
        <v>105341.94</v>
      </c>
      <c r="J439" s="2">
        <v>15594.94</v>
      </c>
      <c r="K439" s="3">
        <v>15594.94</v>
      </c>
      <c r="L439" s="3">
        <v>0</v>
      </c>
      <c r="M439" s="3">
        <v>14914.38</v>
      </c>
      <c r="N439" s="4" t="s">
        <v>104</v>
      </c>
      <c r="O439" s="3" t="str">
        <f t="shared" si="19"/>
        <v>Online</v>
      </c>
      <c r="P439" s="11">
        <v>7636000</v>
      </c>
      <c r="Q439" s="3">
        <v>4604800000</v>
      </c>
      <c r="R439" s="3">
        <v>3157600000</v>
      </c>
      <c r="S439" s="11">
        <v>11700000</v>
      </c>
    </row>
    <row r="440" spans="1:19" x14ac:dyDescent="0.35">
      <c r="A440" s="1" t="s">
        <v>40</v>
      </c>
      <c r="B440" s="1" t="str">
        <f t="shared" si="20"/>
        <v>Standard Chartered Bank</v>
      </c>
      <c r="C440">
        <v>18</v>
      </c>
      <c r="D440">
        <v>18</v>
      </c>
      <c r="E440">
        <v>40</v>
      </c>
      <c r="F440" s="2">
        <v>10389.33</v>
      </c>
      <c r="G440" s="2">
        <v>10445.77</v>
      </c>
      <c r="H440" s="2">
        <v>0</v>
      </c>
      <c r="I440" s="2">
        <v>6916.74</v>
      </c>
      <c r="J440" s="2">
        <v>3472.59</v>
      </c>
      <c r="K440" s="3">
        <v>3472.59</v>
      </c>
      <c r="L440" s="3">
        <v>0</v>
      </c>
      <c r="M440" s="3">
        <v>0</v>
      </c>
      <c r="N440" s="4" t="s">
        <v>104</v>
      </c>
      <c r="O440" s="3" t="str">
        <f t="shared" si="19"/>
        <v>Offline - Box Office</v>
      </c>
      <c r="P440" s="11">
        <v>7636000</v>
      </c>
      <c r="Q440" s="3">
        <v>4604800000</v>
      </c>
      <c r="R440" s="3">
        <v>3157600000</v>
      </c>
      <c r="S440" s="11">
        <v>11700000</v>
      </c>
    </row>
    <row r="441" spans="1:19" x14ac:dyDescent="0.35">
      <c r="A441" s="1" t="s">
        <v>41</v>
      </c>
      <c r="B441" s="1" t="str">
        <f t="shared" si="20"/>
        <v>Standard Chartered Bank</v>
      </c>
      <c r="C441">
        <v>82</v>
      </c>
      <c r="D441">
        <v>82</v>
      </c>
      <c r="E441">
        <v>189</v>
      </c>
      <c r="F441" s="2">
        <v>63015.57</v>
      </c>
      <c r="G441" s="2">
        <v>54645.49</v>
      </c>
      <c r="H441" s="2">
        <v>1060</v>
      </c>
      <c r="I441" s="2">
        <v>46897.21</v>
      </c>
      <c r="J441" s="2">
        <v>15954.36</v>
      </c>
      <c r="K441" s="3">
        <v>15954.36</v>
      </c>
      <c r="L441" s="3">
        <v>0</v>
      </c>
      <c r="M441" s="3">
        <v>7146.08</v>
      </c>
      <c r="N441" s="4" t="s">
        <v>104</v>
      </c>
      <c r="O441" s="3" t="str">
        <f t="shared" si="19"/>
        <v>Online</v>
      </c>
      <c r="P441" s="11">
        <v>7636000</v>
      </c>
      <c r="Q441" s="3">
        <v>4604800000</v>
      </c>
      <c r="R441" s="3">
        <v>3157600000</v>
      </c>
      <c r="S441" s="11">
        <v>11700000</v>
      </c>
    </row>
    <row r="442" spans="1:19" x14ac:dyDescent="0.35">
      <c r="A442" s="1" t="s">
        <v>91</v>
      </c>
      <c r="B442" s="1" t="str">
        <f t="shared" si="20"/>
        <v>American Express</v>
      </c>
      <c r="C442">
        <v>264</v>
      </c>
      <c r="D442">
        <v>264</v>
      </c>
      <c r="E442">
        <v>735</v>
      </c>
      <c r="F442" s="2">
        <v>303872.09999999998</v>
      </c>
      <c r="G442" s="2">
        <v>303922.44</v>
      </c>
      <c r="H442" s="2">
        <v>0</v>
      </c>
      <c r="I442" s="2">
        <v>208357.67</v>
      </c>
      <c r="J442" s="2">
        <v>95514.43</v>
      </c>
      <c r="K442" s="3">
        <v>47757.26</v>
      </c>
      <c r="L442" s="3">
        <v>47757.26</v>
      </c>
      <c r="M442" s="3">
        <v>0</v>
      </c>
      <c r="N442" s="4" t="s">
        <v>105</v>
      </c>
      <c r="O442" s="3" t="str">
        <f t="shared" si="19"/>
        <v>Offline - Box Office</v>
      </c>
      <c r="P442" s="11">
        <v>5503000</v>
      </c>
      <c r="Q442" s="3">
        <v>3147000000</v>
      </c>
      <c r="R442" s="3">
        <v>2095300000</v>
      </c>
      <c r="S442" s="11">
        <v>8312000</v>
      </c>
    </row>
    <row r="443" spans="1:19" x14ac:dyDescent="0.35">
      <c r="A443" s="1" t="s">
        <v>93</v>
      </c>
      <c r="B443" s="1" t="str">
        <f t="shared" si="20"/>
        <v>American Express</v>
      </c>
      <c r="C443">
        <v>800</v>
      </c>
      <c r="D443">
        <v>800</v>
      </c>
      <c r="E443">
        <v>2017</v>
      </c>
      <c r="F443" s="2">
        <v>1091085.06</v>
      </c>
      <c r="G443" s="2">
        <v>971494.12</v>
      </c>
      <c r="H443" s="2">
        <v>11755</v>
      </c>
      <c r="I443" s="2">
        <v>778367.97</v>
      </c>
      <c r="J443" s="2">
        <v>310299.09000000003</v>
      </c>
      <c r="K443" s="3">
        <v>155149.72</v>
      </c>
      <c r="L443" s="3">
        <v>155149.72</v>
      </c>
      <c r="M443" s="3">
        <v>105567.46</v>
      </c>
      <c r="N443" s="4" t="s">
        <v>105</v>
      </c>
      <c r="O443" s="3" t="str">
        <f t="shared" si="19"/>
        <v>Online</v>
      </c>
      <c r="P443" s="11">
        <v>5503000</v>
      </c>
      <c r="Q443" s="3">
        <v>3147000000</v>
      </c>
      <c r="R443" s="3">
        <v>2095300000</v>
      </c>
      <c r="S443" s="11">
        <v>8312000</v>
      </c>
    </row>
    <row r="444" spans="1:19" x14ac:dyDescent="0.35">
      <c r="A444" s="1" t="s">
        <v>59</v>
      </c>
      <c r="B444" s="1" t="str">
        <f t="shared" si="20"/>
        <v>AU Bank</v>
      </c>
      <c r="C444">
        <v>2</v>
      </c>
      <c r="D444">
        <v>0</v>
      </c>
      <c r="E444">
        <v>5</v>
      </c>
      <c r="F444" s="2">
        <v>2120</v>
      </c>
      <c r="G444" s="2">
        <v>2120</v>
      </c>
      <c r="H444" s="2">
        <v>0</v>
      </c>
      <c r="I444" s="2">
        <v>1920</v>
      </c>
      <c r="J444" s="2">
        <v>200</v>
      </c>
      <c r="K444" s="3">
        <v>200</v>
      </c>
      <c r="L444" s="3">
        <v>0</v>
      </c>
      <c r="M444" s="3">
        <v>0</v>
      </c>
      <c r="N444" s="4" t="s">
        <v>105</v>
      </c>
      <c r="O444" s="3" t="str">
        <f t="shared" si="19"/>
        <v>Offline - Box Office</v>
      </c>
      <c r="P444" s="11">
        <v>5503000</v>
      </c>
      <c r="Q444" s="3">
        <v>3147000000</v>
      </c>
      <c r="R444" s="3">
        <v>2095300000</v>
      </c>
      <c r="S444" s="11">
        <v>8312000</v>
      </c>
    </row>
    <row r="445" spans="1:19" x14ac:dyDescent="0.35">
      <c r="A445" s="1" t="s">
        <v>19</v>
      </c>
      <c r="B445" s="1" t="str">
        <f t="shared" si="20"/>
        <v>AU Bank</v>
      </c>
      <c r="C445">
        <v>150</v>
      </c>
      <c r="D445">
        <v>0</v>
      </c>
      <c r="E445">
        <v>457</v>
      </c>
      <c r="F445" s="2">
        <v>157990.89000000001</v>
      </c>
      <c r="G445" s="2">
        <v>136157.21</v>
      </c>
      <c r="H445" s="2">
        <v>2630</v>
      </c>
      <c r="I445" s="2">
        <v>142580.89000000001</v>
      </c>
      <c r="J445" s="2">
        <v>15000</v>
      </c>
      <c r="K445" s="3">
        <v>15000</v>
      </c>
      <c r="L445" s="3">
        <v>0</v>
      </c>
      <c r="M445" s="3">
        <v>18891.32</v>
      </c>
      <c r="N445" s="4" t="s">
        <v>105</v>
      </c>
      <c r="O445" s="3" t="str">
        <f t="shared" si="19"/>
        <v>Online</v>
      </c>
      <c r="P445" s="11">
        <v>5503000</v>
      </c>
      <c r="Q445" s="3">
        <v>3147000000</v>
      </c>
      <c r="R445" s="3">
        <v>2095300000</v>
      </c>
      <c r="S445" s="11">
        <v>8312000</v>
      </c>
    </row>
    <row r="446" spans="1:19" x14ac:dyDescent="0.35">
      <c r="A446" s="1" t="s">
        <v>21</v>
      </c>
      <c r="B446" s="1" t="str">
        <f t="shared" si="20"/>
        <v>AU Bank</v>
      </c>
      <c r="C446">
        <v>72</v>
      </c>
      <c r="D446">
        <v>0</v>
      </c>
      <c r="E446">
        <v>85</v>
      </c>
      <c r="F446" s="2">
        <v>39759.08</v>
      </c>
      <c r="G446" s="2">
        <v>36995</v>
      </c>
      <c r="H446" s="2">
        <v>2330</v>
      </c>
      <c r="I446" s="2">
        <v>32545.08</v>
      </c>
      <c r="J446" s="2">
        <v>7200</v>
      </c>
      <c r="K446" s="3">
        <v>5040</v>
      </c>
      <c r="L446" s="3">
        <v>2160</v>
      </c>
      <c r="M446" s="3">
        <v>420.08</v>
      </c>
      <c r="N446" s="4" t="s">
        <v>105</v>
      </c>
      <c r="O446" s="3" t="str">
        <f t="shared" si="19"/>
        <v>Online</v>
      </c>
      <c r="P446" s="11">
        <v>5503000</v>
      </c>
      <c r="Q446" s="3">
        <v>3147000000</v>
      </c>
      <c r="R446" s="3">
        <v>2095300000</v>
      </c>
      <c r="S446" s="11">
        <v>8312000</v>
      </c>
    </row>
    <row r="447" spans="1:19" x14ac:dyDescent="0.35">
      <c r="A447" s="1" t="s">
        <v>22</v>
      </c>
      <c r="B447" s="1" t="str">
        <f t="shared" si="20"/>
        <v>AU Bank</v>
      </c>
      <c r="C447">
        <v>581</v>
      </c>
      <c r="D447">
        <v>0</v>
      </c>
      <c r="E447">
        <v>1448</v>
      </c>
      <c r="F447" s="2">
        <v>429442.5</v>
      </c>
      <c r="G447" s="2">
        <v>0</v>
      </c>
      <c r="H447" s="2">
        <v>429442.5</v>
      </c>
      <c r="I447" s="2">
        <v>371342.5</v>
      </c>
      <c r="J447" s="2">
        <v>58100</v>
      </c>
      <c r="K447" s="3">
        <v>40670</v>
      </c>
      <c r="L447" s="3">
        <v>17430</v>
      </c>
      <c r="M447" s="3">
        <v>0</v>
      </c>
      <c r="N447" s="4" t="s">
        <v>105</v>
      </c>
      <c r="O447" s="3" t="str">
        <f t="shared" si="19"/>
        <v>Offline - F&amp;B</v>
      </c>
      <c r="P447" s="11">
        <v>5503000</v>
      </c>
      <c r="Q447" s="3">
        <v>3147000000</v>
      </c>
      <c r="R447" s="3">
        <v>2095300000</v>
      </c>
      <c r="S447" s="11">
        <v>8312000</v>
      </c>
    </row>
    <row r="448" spans="1:19" x14ac:dyDescent="0.35">
      <c r="A448" s="1" t="s">
        <v>43</v>
      </c>
      <c r="B448" s="1" t="str">
        <f t="shared" si="20"/>
        <v>Axis Bank</v>
      </c>
      <c r="C448">
        <v>14</v>
      </c>
      <c r="D448">
        <v>14</v>
      </c>
      <c r="E448">
        <v>40</v>
      </c>
      <c r="F448" s="2">
        <v>9599.76</v>
      </c>
      <c r="G448" s="2">
        <v>9644</v>
      </c>
      <c r="H448" s="2">
        <v>0</v>
      </c>
      <c r="I448" s="2">
        <v>6852.76</v>
      </c>
      <c r="J448" s="2">
        <v>2747</v>
      </c>
      <c r="K448" s="3">
        <v>2417.36</v>
      </c>
      <c r="L448" s="3">
        <v>329.64</v>
      </c>
      <c r="M448" s="3">
        <v>0</v>
      </c>
      <c r="N448" s="4" t="s">
        <v>105</v>
      </c>
      <c r="O448" s="3" t="str">
        <f t="shared" si="19"/>
        <v>Offline - Box Office</v>
      </c>
      <c r="P448" s="11">
        <v>5503000</v>
      </c>
      <c r="Q448" s="3">
        <v>3147000000</v>
      </c>
      <c r="R448" s="3">
        <v>2095300000</v>
      </c>
      <c r="S448" s="11">
        <v>8312000</v>
      </c>
    </row>
    <row r="449" spans="1:19" x14ac:dyDescent="0.35">
      <c r="A449" s="1" t="s">
        <v>23</v>
      </c>
      <c r="B449" s="1" t="str">
        <f t="shared" si="20"/>
        <v>Axis Bank</v>
      </c>
      <c r="C449">
        <v>11</v>
      </c>
      <c r="D449">
        <v>11</v>
      </c>
      <c r="E449">
        <v>28</v>
      </c>
      <c r="F449" s="2">
        <v>8124.7</v>
      </c>
      <c r="G449" s="2">
        <v>6910.58</v>
      </c>
      <c r="H449" s="2">
        <v>270</v>
      </c>
      <c r="I449" s="2">
        <v>5991.7</v>
      </c>
      <c r="J449" s="2">
        <v>2091</v>
      </c>
      <c r="K449" s="3">
        <v>1777.35</v>
      </c>
      <c r="L449" s="3">
        <v>313.64999999999998</v>
      </c>
      <c r="M449" s="3">
        <v>946.36</v>
      </c>
      <c r="N449" s="4" t="s">
        <v>105</v>
      </c>
      <c r="O449" s="3" t="str">
        <f t="shared" si="19"/>
        <v>Online</v>
      </c>
      <c r="P449" s="11">
        <v>5503000</v>
      </c>
      <c r="Q449" s="3">
        <v>3147000000</v>
      </c>
      <c r="R449" s="3">
        <v>2095300000</v>
      </c>
      <c r="S449" s="11">
        <v>8312000</v>
      </c>
    </row>
    <row r="450" spans="1:19" x14ac:dyDescent="0.35">
      <c r="A450" s="1" t="s">
        <v>44</v>
      </c>
      <c r="B450" s="1" t="str">
        <f t="shared" si="20"/>
        <v>Axis Bank</v>
      </c>
      <c r="C450">
        <v>190</v>
      </c>
      <c r="D450">
        <v>190</v>
      </c>
      <c r="E450">
        <v>476</v>
      </c>
      <c r="F450" s="2">
        <v>109337.59</v>
      </c>
      <c r="G450" s="2">
        <v>109610.67</v>
      </c>
      <c r="H450" s="2">
        <v>0</v>
      </c>
      <c r="I450" s="2">
        <v>73798.84</v>
      </c>
      <c r="J450" s="2">
        <v>35538.75</v>
      </c>
      <c r="K450" s="3">
        <v>31274.13</v>
      </c>
      <c r="L450" s="3">
        <v>4264.62</v>
      </c>
      <c r="M450" s="3">
        <v>0</v>
      </c>
      <c r="N450" s="4" t="s">
        <v>105</v>
      </c>
      <c r="O450" s="3" t="str">
        <f t="shared" ref="O450:O513" si="21">IF(ISNUMBER(SEARCH("Box Office",A450)),"Offline - Box Office",
IF(ISNUMBER(SEARCH("Digital Platforms",A450)),"Online",
IF(ISNUMBER(SEARCH("Refuel",A450)),"Offline - F&amp;B",
IF(ISNUMBER(SEARCH("Food &amp; Beverages",A450)),"Offline - F&amp;B",
IF(ISNUMBER(SEARCH("F&amp;B",A450)),"Offline - F&amp;B",
IF(ISNUMBER(SEARCH("Kiosk",A450)),"Offline - Box Office",
IF(ISNUMBER(SEARCH("Cinema",A450)),"Offline - Box Office",
"Other")))))))</f>
        <v>Offline - Box Office</v>
      </c>
      <c r="P450" s="11">
        <v>5503000</v>
      </c>
      <c r="Q450" s="3">
        <v>3147000000</v>
      </c>
      <c r="R450" s="3">
        <v>2095300000</v>
      </c>
      <c r="S450" s="11">
        <v>8312000</v>
      </c>
    </row>
    <row r="451" spans="1:19" x14ac:dyDescent="0.35">
      <c r="A451" s="1" t="s">
        <v>24</v>
      </c>
      <c r="B451" s="1" t="str">
        <f t="shared" si="20"/>
        <v>Axis Bank</v>
      </c>
      <c r="C451">
        <v>572</v>
      </c>
      <c r="D451">
        <v>572</v>
      </c>
      <c r="E451">
        <v>1304</v>
      </c>
      <c r="F451" s="2">
        <v>330321.42</v>
      </c>
      <c r="G451" s="2">
        <v>287155.7</v>
      </c>
      <c r="H451" s="2">
        <v>1490</v>
      </c>
      <c r="I451" s="2">
        <v>221262.02</v>
      </c>
      <c r="J451" s="2">
        <v>108091.4</v>
      </c>
      <c r="K451" s="3">
        <v>91877.57</v>
      </c>
      <c r="L451" s="3">
        <v>16213.83</v>
      </c>
      <c r="M451" s="3">
        <v>41071.54</v>
      </c>
      <c r="N451" s="4" t="s">
        <v>105</v>
      </c>
      <c r="O451" s="3" t="str">
        <f t="shared" si="21"/>
        <v>Online</v>
      </c>
      <c r="P451" s="11">
        <v>5503000</v>
      </c>
      <c r="Q451" s="3">
        <v>3147000000</v>
      </c>
      <c r="R451" s="3">
        <v>2095300000</v>
      </c>
      <c r="S451" s="11">
        <v>8312000</v>
      </c>
    </row>
    <row r="452" spans="1:19" x14ac:dyDescent="0.35">
      <c r="A452" s="1" t="s">
        <v>54</v>
      </c>
      <c r="B452" s="1" t="str">
        <f t="shared" si="20"/>
        <v>BOB Card</v>
      </c>
      <c r="C452">
        <v>13</v>
      </c>
      <c r="D452">
        <v>0</v>
      </c>
      <c r="E452">
        <v>22</v>
      </c>
      <c r="F452" s="2">
        <v>10855</v>
      </c>
      <c r="G452" s="2">
        <v>10855</v>
      </c>
      <c r="H452" s="2">
        <v>0</v>
      </c>
      <c r="I452" s="2">
        <v>9770</v>
      </c>
      <c r="J452" s="2">
        <v>1085</v>
      </c>
      <c r="K452" s="3">
        <v>759.5</v>
      </c>
      <c r="L452" s="3">
        <v>325.5</v>
      </c>
      <c r="M452" s="3">
        <v>0</v>
      </c>
      <c r="N452" s="4" t="s">
        <v>105</v>
      </c>
      <c r="O452" s="3" t="str">
        <f t="shared" si="21"/>
        <v>Online</v>
      </c>
      <c r="P452" s="11">
        <v>5503000</v>
      </c>
      <c r="Q452" s="3">
        <v>3147000000</v>
      </c>
      <c r="R452" s="3">
        <v>2095300000</v>
      </c>
      <c r="S452" s="11">
        <v>8312000</v>
      </c>
    </row>
    <row r="453" spans="1:19" x14ac:dyDescent="0.35">
      <c r="A453" s="1" t="s">
        <v>55</v>
      </c>
      <c r="B453" s="1" t="str">
        <f t="shared" si="20"/>
        <v>BOB Card</v>
      </c>
      <c r="C453">
        <v>455</v>
      </c>
      <c r="D453">
        <v>0</v>
      </c>
      <c r="E453">
        <v>1371</v>
      </c>
      <c r="F453" s="2">
        <v>400216.64</v>
      </c>
      <c r="G453" s="2">
        <v>0</v>
      </c>
      <c r="H453" s="2">
        <v>400216.64</v>
      </c>
      <c r="I453" s="2">
        <v>360454.64</v>
      </c>
      <c r="J453" s="2">
        <v>39762</v>
      </c>
      <c r="K453" s="3">
        <v>27833.4</v>
      </c>
      <c r="L453" s="3">
        <v>11928.6</v>
      </c>
      <c r="M453" s="3">
        <v>0</v>
      </c>
      <c r="N453" s="4" t="s">
        <v>105</v>
      </c>
      <c r="O453" s="3" t="str">
        <f t="shared" si="21"/>
        <v>Offline - F&amp;B</v>
      </c>
      <c r="P453" s="11">
        <v>5503000</v>
      </c>
      <c r="Q453" s="3">
        <v>3147000000</v>
      </c>
      <c r="R453" s="3">
        <v>2095300000</v>
      </c>
      <c r="S453" s="11">
        <v>8312000</v>
      </c>
    </row>
    <row r="454" spans="1:19" x14ac:dyDescent="0.35">
      <c r="A454" s="1" t="s">
        <v>72</v>
      </c>
      <c r="B454" s="1" t="str">
        <f t="shared" si="20"/>
        <v>BOB Card</v>
      </c>
      <c r="C454">
        <v>158</v>
      </c>
      <c r="D454">
        <v>0</v>
      </c>
      <c r="E454">
        <v>483</v>
      </c>
      <c r="F454" s="2">
        <v>121910.21</v>
      </c>
      <c r="G454" s="2">
        <v>122254.93</v>
      </c>
      <c r="H454" s="2">
        <v>0</v>
      </c>
      <c r="I454" s="2">
        <v>101175.21</v>
      </c>
      <c r="J454" s="2">
        <v>20735</v>
      </c>
      <c r="K454" s="3">
        <v>18246.8</v>
      </c>
      <c r="L454" s="3">
        <v>2488.1999999999998</v>
      </c>
      <c r="M454" s="3">
        <v>0</v>
      </c>
      <c r="N454" s="4" t="s">
        <v>105</v>
      </c>
      <c r="O454" s="3" t="str">
        <f t="shared" si="21"/>
        <v>Offline - Box Office</v>
      </c>
      <c r="P454" s="11">
        <v>5503000</v>
      </c>
      <c r="Q454" s="3">
        <v>3147000000</v>
      </c>
      <c r="R454" s="3">
        <v>2095300000</v>
      </c>
      <c r="S454" s="11">
        <v>8312000</v>
      </c>
    </row>
    <row r="455" spans="1:19" x14ac:dyDescent="0.35">
      <c r="A455" s="1" t="s">
        <v>56</v>
      </c>
      <c r="B455" s="1" t="str">
        <f t="shared" si="20"/>
        <v>BOB Card</v>
      </c>
      <c r="C455">
        <v>410</v>
      </c>
      <c r="D455">
        <v>0</v>
      </c>
      <c r="E455">
        <v>1132</v>
      </c>
      <c r="F455" s="2">
        <v>329865.53999999998</v>
      </c>
      <c r="G455" s="2">
        <v>285322.34000000003</v>
      </c>
      <c r="H455" s="2">
        <v>2790</v>
      </c>
      <c r="I455" s="2">
        <v>276737.53999999998</v>
      </c>
      <c r="J455" s="2">
        <v>52188</v>
      </c>
      <c r="K455" s="3">
        <v>45925.440000000002</v>
      </c>
      <c r="L455" s="3">
        <v>6262.56</v>
      </c>
      <c r="M455" s="3">
        <v>41472.959999999999</v>
      </c>
      <c r="N455" s="4" t="s">
        <v>105</v>
      </c>
      <c r="O455" s="3" t="str">
        <f t="shared" si="21"/>
        <v>Online</v>
      </c>
      <c r="P455" s="11">
        <v>5503000</v>
      </c>
      <c r="Q455" s="3">
        <v>3147000000</v>
      </c>
      <c r="R455" s="3">
        <v>2095300000</v>
      </c>
      <c r="S455" s="11">
        <v>8312000</v>
      </c>
    </row>
    <row r="456" spans="1:19" x14ac:dyDescent="0.35">
      <c r="A456" s="1" t="s">
        <v>73</v>
      </c>
      <c r="B456" s="1" t="str">
        <f t="shared" si="20"/>
        <v>Federal Bank</v>
      </c>
      <c r="C456">
        <v>679</v>
      </c>
      <c r="D456">
        <v>679</v>
      </c>
      <c r="E456">
        <v>1861</v>
      </c>
      <c r="F456" s="2">
        <v>424683.22</v>
      </c>
      <c r="G456" s="2">
        <v>425097.99</v>
      </c>
      <c r="H456" s="2">
        <v>0</v>
      </c>
      <c r="I456" s="2">
        <v>357033.68</v>
      </c>
      <c r="J456" s="2">
        <v>67649.539999999994</v>
      </c>
      <c r="K456" s="3">
        <v>54119.62</v>
      </c>
      <c r="L456" s="3">
        <v>13529.92</v>
      </c>
      <c r="M456" s="3">
        <v>0</v>
      </c>
      <c r="N456" s="4" t="s">
        <v>105</v>
      </c>
      <c r="O456" s="3" t="str">
        <f t="shared" si="21"/>
        <v>Offline - Box Office</v>
      </c>
      <c r="P456" s="11">
        <v>5503000</v>
      </c>
      <c r="Q456" s="3">
        <v>3147000000</v>
      </c>
      <c r="R456" s="3">
        <v>2095300000</v>
      </c>
      <c r="S456" s="11">
        <v>8312000</v>
      </c>
    </row>
    <row r="457" spans="1:19" x14ac:dyDescent="0.35">
      <c r="A457" s="1" t="s">
        <v>74</v>
      </c>
      <c r="B457" s="1" t="str">
        <f t="shared" si="20"/>
        <v>Federal Bank</v>
      </c>
      <c r="C457">
        <v>419</v>
      </c>
      <c r="D457">
        <v>419</v>
      </c>
      <c r="E457">
        <v>1028</v>
      </c>
      <c r="F457" s="2">
        <v>298003.5</v>
      </c>
      <c r="G457" s="2">
        <v>255534.74</v>
      </c>
      <c r="H457" s="2">
        <v>4110</v>
      </c>
      <c r="I457" s="2">
        <v>255917.38</v>
      </c>
      <c r="J457" s="2">
        <v>41196.120000000003</v>
      </c>
      <c r="K457" s="3">
        <v>32956.86</v>
      </c>
      <c r="L457" s="3">
        <v>8239.26</v>
      </c>
      <c r="M457" s="3">
        <v>37514.32</v>
      </c>
      <c r="N457" s="4" t="s">
        <v>105</v>
      </c>
      <c r="O457" s="3" t="str">
        <f t="shared" si="21"/>
        <v>Online</v>
      </c>
      <c r="P457" s="11">
        <v>5503000</v>
      </c>
      <c r="Q457" s="3">
        <v>3147000000</v>
      </c>
      <c r="R457" s="3">
        <v>2095300000</v>
      </c>
      <c r="S457" s="11">
        <v>8312000</v>
      </c>
    </row>
    <row r="458" spans="1:19" x14ac:dyDescent="0.35">
      <c r="A458" s="1" t="s">
        <v>27</v>
      </c>
      <c r="B458" s="1" t="str">
        <f t="shared" si="20"/>
        <v>Federal Bank</v>
      </c>
      <c r="C458">
        <v>43</v>
      </c>
      <c r="D458">
        <v>43</v>
      </c>
      <c r="E458">
        <v>128</v>
      </c>
      <c r="F458" s="2">
        <v>34689.019999999997</v>
      </c>
      <c r="G458" s="2">
        <v>35009.339999999997</v>
      </c>
      <c r="H458" s="2">
        <v>0</v>
      </c>
      <c r="I458" s="2">
        <v>30389.02</v>
      </c>
      <c r="J458" s="2">
        <v>4300</v>
      </c>
      <c r="K458" s="3">
        <v>4300</v>
      </c>
      <c r="L458" s="3">
        <v>0</v>
      </c>
      <c r="M458" s="3">
        <v>0</v>
      </c>
      <c r="N458" s="4" t="s">
        <v>105</v>
      </c>
      <c r="O458" s="3" t="str">
        <f t="shared" si="21"/>
        <v>Offline - Box Office</v>
      </c>
      <c r="P458" s="11">
        <v>5503000</v>
      </c>
      <c r="Q458" s="3">
        <v>3147000000</v>
      </c>
      <c r="R458" s="3">
        <v>2095300000</v>
      </c>
      <c r="S458" s="11">
        <v>8312000</v>
      </c>
    </row>
    <row r="459" spans="1:19" x14ac:dyDescent="0.35">
      <c r="A459" s="1" t="s">
        <v>28</v>
      </c>
      <c r="B459" s="1" t="str">
        <f t="shared" si="20"/>
        <v>Federal Bank</v>
      </c>
      <c r="C459">
        <v>27</v>
      </c>
      <c r="D459">
        <v>27</v>
      </c>
      <c r="E459">
        <v>73</v>
      </c>
      <c r="F459" s="2">
        <v>26679.41</v>
      </c>
      <c r="G459" s="2">
        <v>23206.47</v>
      </c>
      <c r="H459" s="2">
        <v>290</v>
      </c>
      <c r="I459" s="2">
        <v>23927.47</v>
      </c>
      <c r="J459" s="2">
        <v>2659.94</v>
      </c>
      <c r="K459" s="3">
        <v>2659.94</v>
      </c>
      <c r="L459" s="3">
        <v>0</v>
      </c>
      <c r="M459" s="3">
        <v>3119.92</v>
      </c>
      <c r="N459" s="4" t="s">
        <v>105</v>
      </c>
      <c r="O459" s="3" t="str">
        <f t="shared" si="21"/>
        <v>Online</v>
      </c>
      <c r="P459" s="11">
        <v>5503000</v>
      </c>
      <c r="Q459" s="3">
        <v>3147000000</v>
      </c>
      <c r="R459" s="3">
        <v>2095300000</v>
      </c>
      <c r="S459" s="11">
        <v>8312000</v>
      </c>
    </row>
    <row r="460" spans="1:19" x14ac:dyDescent="0.35">
      <c r="A460" s="1" t="s">
        <v>29</v>
      </c>
      <c r="B460" s="1" t="str">
        <f t="shared" si="20"/>
        <v>Federal Bank</v>
      </c>
      <c r="C460">
        <v>186</v>
      </c>
      <c r="D460">
        <v>186</v>
      </c>
      <c r="E460">
        <v>537</v>
      </c>
      <c r="F460" s="2">
        <v>134790.26</v>
      </c>
      <c r="G460" s="2">
        <v>134934.41</v>
      </c>
      <c r="H460" s="2">
        <v>0</v>
      </c>
      <c r="I460" s="2">
        <v>116192.26</v>
      </c>
      <c r="J460" s="2">
        <v>18598</v>
      </c>
      <c r="K460" s="3">
        <v>18598</v>
      </c>
      <c r="L460" s="3">
        <v>0</v>
      </c>
      <c r="M460" s="3">
        <v>0</v>
      </c>
      <c r="N460" s="4" t="s">
        <v>105</v>
      </c>
      <c r="O460" s="3" t="str">
        <f t="shared" si="21"/>
        <v>Offline - Box Office</v>
      </c>
      <c r="P460" s="11">
        <v>5503000</v>
      </c>
      <c r="Q460" s="3">
        <v>3147000000</v>
      </c>
      <c r="R460" s="3">
        <v>2095300000</v>
      </c>
      <c r="S460" s="11">
        <v>8312000</v>
      </c>
    </row>
    <row r="461" spans="1:19" x14ac:dyDescent="0.35">
      <c r="A461" s="1" t="s">
        <v>30</v>
      </c>
      <c r="B461" s="1" t="str">
        <f t="shared" si="20"/>
        <v>Federal Bank</v>
      </c>
      <c r="C461">
        <v>104</v>
      </c>
      <c r="D461">
        <v>104</v>
      </c>
      <c r="E461">
        <v>280</v>
      </c>
      <c r="F461" s="2">
        <v>78626.460000000006</v>
      </c>
      <c r="G461" s="2">
        <v>67789.77</v>
      </c>
      <c r="H461" s="2">
        <v>380</v>
      </c>
      <c r="I461" s="2">
        <v>68015.520000000004</v>
      </c>
      <c r="J461" s="2">
        <v>10356.94</v>
      </c>
      <c r="K461" s="3">
        <v>10356.94</v>
      </c>
      <c r="L461" s="3">
        <v>0</v>
      </c>
      <c r="M461" s="3">
        <v>10275.92</v>
      </c>
      <c r="N461" s="4" t="s">
        <v>105</v>
      </c>
      <c r="O461" s="3" t="str">
        <f t="shared" si="21"/>
        <v>Online</v>
      </c>
      <c r="P461" s="11">
        <v>5503000</v>
      </c>
      <c r="Q461" s="3">
        <v>3147000000</v>
      </c>
      <c r="R461" s="3">
        <v>2095300000</v>
      </c>
      <c r="S461" s="11">
        <v>8312000</v>
      </c>
    </row>
    <row r="462" spans="1:19" x14ac:dyDescent="0.35">
      <c r="A462" s="1" t="s">
        <v>32</v>
      </c>
      <c r="B462" s="1" t="str">
        <f t="shared" si="20"/>
        <v>ICICI Bank</v>
      </c>
      <c r="C462">
        <v>3016</v>
      </c>
      <c r="D462">
        <v>0</v>
      </c>
      <c r="E462">
        <v>8716</v>
      </c>
      <c r="F462" s="2">
        <v>2047141.72</v>
      </c>
      <c r="G462" s="2">
        <v>2051931.72</v>
      </c>
      <c r="H462" s="2">
        <v>100</v>
      </c>
      <c r="I462" s="2">
        <v>1739785.72</v>
      </c>
      <c r="J462" s="2">
        <v>307356</v>
      </c>
      <c r="K462" s="3">
        <v>270473.28000000003</v>
      </c>
      <c r="L462" s="3">
        <v>36882.720000000001</v>
      </c>
      <c r="M462" s="3">
        <v>0</v>
      </c>
      <c r="N462" s="4" t="s">
        <v>105</v>
      </c>
      <c r="O462" s="3" t="str">
        <f t="shared" si="21"/>
        <v>Offline - Box Office</v>
      </c>
      <c r="P462" s="11">
        <v>5503000</v>
      </c>
      <c r="Q462" s="3">
        <v>3147000000</v>
      </c>
      <c r="R462" s="3">
        <v>2095300000</v>
      </c>
      <c r="S462" s="11">
        <v>8312000</v>
      </c>
    </row>
    <row r="463" spans="1:19" x14ac:dyDescent="0.35">
      <c r="A463" s="1" t="s">
        <v>33</v>
      </c>
      <c r="B463" s="1" t="str">
        <f t="shared" si="20"/>
        <v>ICICI Bank</v>
      </c>
      <c r="C463">
        <v>830</v>
      </c>
      <c r="D463">
        <v>0</v>
      </c>
      <c r="E463">
        <v>2300</v>
      </c>
      <c r="F463" s="2">
        <v>647757.59</v>
      </c>
      <c r="G463" s="2">
        <v>557850.09</v>
      </c>
      <c r="H463" s="2">
        <v>10975</v>
      </c>
      <c r="I463" s="2">
        <v>558275.59</v>
      </c>
      <c r="J463" s="2">
        <v>87616</v>
      </c>
      <c r="K463" s="3">
        <v>74473.600000000006</v>
      </c>
      <c r="L463" s="3">
        <v>13142.4</v>
      </c>
      <c r="M463" s="3">
        <v>77784.28</v>
      </c>
      <c r="N463" s="4" t="s">
        <v>105</v>
      </c>
      <c r="O463" s="3" t="str">
        <f t="shared" si="21"/>
        <v>Online</v>
      </c>
      <c r="P463" s="11">
        <v>5503000</v>
      </c>
      <c r="Q463" s="3">
        <v>3147000000</v>
      </c>
      <c r="R463" s="3">
        <v>2095300000</v>
      </c>
      <c r="S463" s="11">
        <v>8312000</v>
      </c>
    </row>
    <row r="464" spans="1:19" x14ac:dyDescent="0.35">
      <c r="A464" s="1" t="s">
        <v>34</v>
      </c>
      <c r="B464" s="1" t="str">
        <f t="shared" si="20"/>
        <v>ICICI Bank</v>
      </c>
      <c r="C464">
        <v>384</v>
      </c>
      <c r="D464">
        <v>0</v>
      </c>
      <c r="E464">
        <v>1043</v>
      </c>
      <c r="F464" s="2">
        <v>257209.97</v>
      </c>
      <c r="G464" s="2">
        <v>257734.7</v>
      </c>
      <c r="H464" s="2">
        <v>0</v>
      </c>
      <c r="I464" s="2">
        <v>236544.97</v>
      </c>
      <c r="J464" s="2">
        <v>20665</v>
      </c>
      <c r="K464" s="3">
        <v>18185.2</v>
      </c>
      <c r="L464" s="3">
        <v>2479.8000000000002</v>
      </c>
      <c r="M464" s="3">
        <v>0</v>
      </c>
      <c r="N464" s="4" t="s">
        <v>105</v>
      </c>
      <c r="O464" s="3" t="str">
        <f t="shared" si="21"/>
        <v>Offline - Box Office</v>
      </c>
      <c r="P464" s="11">
        <v>5503000</v>
      </c>
      <c r="Q464" s="3">
        <v>3147000000</v>
      </c>
      <c r="R464" s="3">
        <v>2095300000</v>
      </c>
      <c r="S464" s="11">
        <v>8312000</v>
      </c>
    </row>
    <row r="465" spans="1:19" x14ac:dyDescent="0.35">
      <c r="A465" s="1" t="s">
        <v>35</v>
      </c>
      <c r="B465" s="1" t="str">
        <f t="shared" si="20"/>
        <v>ICICI Bank</v>
      </c>
      <c r="C465">
        <v>72</v>
      </c>
      <c r="D465">
        <v>0</v>
      </c>
      <c r="E465">
        <v>181</v>
      </c>
      <c r="F465" s="2">
        <v>57829.95</v>
      </c>
      <c r="G465" s="2">
        <v>48434.81</v>
      </c>
      <c r="H465" s="2">
        <v>2860</v>
      </c>
      <c r="I465" s="2">
        <v>53449.95</v>
      </c>
      <c r="J465" s="2">
        <v>4170</v>
      </c>
      <c r="K465" s="3">
        <v>3544.5</v>
      </c>
      <c r="L465" s="3">
        <v>625.5</v>
      </c>
      <c r="M465" s="3">
        <v>6325.14</v>
      </c>
      <c r="N465" s="4" t="s">
        <v>105</v>
      </c>
      <c r="O465" s="3" t="str">
        <f t="shared" si="21"/>
        <v>Online</v>
      </c>
      <c r="P465" s="11">
        <v>5503000</v>
      </c>
      <c r="Q465" s="3">
        <v>3147000000</v>
      </c>
      <c r="R465" s="3">
        <v>2095300000</v>
      </c>
      <c r="S465" s="11">
        <v>8312000</v>
      </c>
    </row>
    <row r="466" spans="1:19" x14ac:dyDescent="0.35">
      <c r="A466" s="1" t="s">
        <v>48</v>
      </c>
      <c r="B466" s="1" t="str">
        <f t="shared" si="20"/>
        <v>IDBI Bank</v>
      </c>
      <c r="C466">
        <v>302</v>
      </c>
      <c r="D466">
        <v>0</v>
      </c>
      <c r="E466">
        <v>728</v>
      </c>
      <c r="F466" s="2">
        <v>196998.21</v>
      </c>
      <c r="G466" s="2">
        <v>197166</v>
      </c>
      <c r="H466" s="2">
        <v>0</v>
      </c>
      <c r="I466" s="2">
        <v>164040.21</v>
      </c>
      <c r="J466" s="2">
        <v>32958</v>
      </c>
      <c r="K466" s="3">
        <v>32958</v>
      </c>
      <c r="L466" s="3">
        <v>0</v>
      </c>
      <c r="M466" s="3">
        <v>0</v>
      </c>
      <c r="N466" s="4" t="s">
        <v>105</v>
      </c>
      <c r="O466" s="3" t="str">
        <f t="shared" si="21"/>
        <v>Offline - Box Office</v>
      </c>
      <c r="P466" s="11">
        <v>5503000</v>
      </c>
      <c r="Q466" s="3">
        <v>3147000000</v>
      </c>
      <c r="R466" s="3">
        <v>2095300000</v>
      </c>
      <c r="S466" s="11">
        <v>8312000</v>
      </c>
    </row>
    <row r="467" spans="1:19" x14ac:dyDescent="0.35">
      <c r="A467" s="1" t="s">
        <v>37</v>
      </c>
      <c r="B467" s="1" t="str">
        <f t="shared" si="20"/>
        <v>IDBI Bank</v>
      </c>
      <c r="C467">
        <v>138</v>
      </c>
      <c r="D467">
        <v>0</v>
      </c>
      <c r="E467">
        <v>331</v>
      </c>
      <c r="F467" s="2">
        <v>100613.04</v>
      </c>
      <c r="G467" s="2">
        <v>88426.54</v>
      </c>
      <c r="H467" s="2">
        <v>210</v>
      </c>
      <c r="I467" s="2">
        <v>84273.04</v>
      </c>
      <c r="J467" s="2">
        <v>16116</v>
      </c>
      <c r="K467" s="3">
        <v>16116</v>
      </c>
      <c r="L467" s="3">
        <v>0</v>
      </c>
      <c r="M467" s="3">
        <v>11783</v>
      </c>
      <c r="N467" s="4" t="s">
        <v>105</v>
      </c>
      <c r="O467" s="3" t="str">
        <f t="shared" si="21"/>
        <v>Online</v>
      </c>
      <c r="P467" s="11">
        <v>5503000</v>
      </c>
      <c r="Q467" s="3">
        <v>3147000000</v>
      </c>
      <c r="R467" s="3">
        <v>2095300000</v>
      </c>
      <c r="S467" s="11">
        <v>8312000</v>
      </c>
    </row>
    <row r="468" spans="1:19" x14ac:dyDescent="0.35">
      <c r="A468" s="1" t="s">
        <v>49</v>
      </c>
      <c r="B468" s="1" t="str">
        <f t="shared" si="20"/>
        <v>IDBI Bank</v>
      </c>
      <c r="C468">
        <v>377</v>
      </c>
      <c r="D468">
        <v>0</v>
      </c>
      <c r="E468">
        <v>905</v>
      </c>
      <c r="F468" s="2">
        <v>226363.89</v>
      </c>
      <c r="G468" s="2">
        <v>0</v>
      </c>
      <c r="H468" s="2">
        <v>226363.89</v>
      </c>
      <c r="I468" s="2">
        <v>185909.89</v>
      </c>
      <c r="J468" s="2">
        <v>40454</v>
      </c>
      <c r="K468" s="3">
        <v>28317.8</v>
      </c>
      <c r="L468" s="3">
        <v>12136.2</v>
      </c>
      <c r="M468" s="3">
        <v>0</v>
      </c>
      <c r="N468" s="4" t="s">
        <v>105</v>
      </c>
      <c r="O468" s="3" t="str">
        <f t="shared" si="21"/>
        <v>Offline - F&amp;B</v>
      </c>
      <c r="P468" s="11">
        <v>5503000</v>
      </c>
      <c r="Q468" s="3">
        <v>3147000000</v>
      </c>
      <c r="R468" s="3">
        <v>2095300000</v>
      </c>
      <c r="S468" s="11">
        <v>8312000</v>
      </c>
    </row>
    <row r="469" spans="1:19" x14ac:dyDescent="0.35">
      <c r="A469" s="1" t="s">
        <v>75</v>
      </c>
      <c r="B469" s="1" t="str">
        <f t="shared" si="20"/>
        <v>J&amp;K Bank</v>
      </c>
      <c r="C469">
        <v>8</v>
      </c>
      <c r="D469">
        <v>0</v>
      </c>
      <c r="E469">
        <v>22</v>
      </c>
      <c r="F469" s="2">
        <v>8916.9</v>
      </c>
      <c r="G469" s="2">
        <v>7770</v>
      </c>
      <c r="H469" s="2">
        <v>0</v>
      </c>
      <c r="I469" s="2">
        <v>5181.8999999999996</v>
      </c>
      <c r="J469" s="2">
        <v>3715</v>
      </c>
      <c r="K469" s="3">
        <v>3529.25</v>
      </c>
      <c r="L469" s="3">
        <v>185.75</v>
      </c>
      <c r="M469" s="3">
        <v>1126.9000000000001</v>
      </c>
      <c r="N469" s="4" t="s">
        <v>105</v>
      </c>
      <c r="O469" s="3" t="str">
        <f t="shared" si="21"/>
        <v>Online</v>
      </c>
      <c r="P469" s="11">
        <v>5503000</v>
      </c>
      <c r="Q469" s="3">
        <v>3147000000</v>
      </c>
      <c r="R469" s="3">
        <v>2095300000</v>
      </c>
      <c r="S469" s="11">
        <v>8312000</v>
      </c>
    </row>
    <row r="470" spans="1:19" x14ac:dyDescent="0.35">
      <c r="A470" s="1" t="s">
        <v>98</v>
      </c>
      <c r="B470" s="1" t="str">
        <f t="shared" si="20"/>
        <v>J&amp;K Bank</v>
      </c>
      <c r="C470">
        <v>1</v>
      </c>
      <c r="D470">
        <v>0</v>
      </c>
      <c r="E470">
        <v>3</v>
      </c>
      <c r="F470" s="2">
        <v>1278.8399999999999</v>
      </c>
      <c r="G470" s="2">
        <v>1110</v>
      </c>
      <c r="H470" s="2">
        <v>0</v>
      </c>
      <c r="I470" s="2">
        <v>772.84</v>
      </c>
      <c r="J470" s="2">
        <v>500</v>
      </c>
      <c r="K470" s="3">
        <v>500</v>
      </c>
      <c r="L470" s="3">
        <v>0</v>
      </c>
      <c r="M470" s="3">
        <v>162.84</v>
      </c>
      <c r="N470" s="4" t="s">
        <v>105</v>
      </c>
      <c r="O470" s="3" t="str">
        <f t="shared" si="21"/>
        <v>Other</v>
      </c>
      <c r="P470" s="11">
        <v>5503000</v>
      </c>
      <c r="Q470" s="3">
        <v>3147000000</v>
      </c>
      <c r="R470" s="3">
        <v>2095300000</v>
      </c>
      <c r="S470" s="11">
        <v>8312000</v>
      </c>
    </row>
    <row r="471" spans="1:19" x14ac:dyDescent="0.35">
      <c r="A471" s="1" t="s">
        <v>77</v>
      </c>
      <c r="B471" s="1" t="str">
        <f t="shared" ref="B471:B534" si="22">IF(ISNUMBER(SEARCH("AXIS",A471)),"Axis Bank",
IF(ISNUMBER(SEARCH("HDFC",A471)),"HDFC Bank",
IF(ISNUMBER(SEARCH("ICICI",A471)),"ICICI Bank",
IF(ISNUMBER(SEARCH("AU",A471)),"AU Bank",
IF(ISNUMBER(SEARCH("KOTAK",A471)),"Kotak Mahindra Bank",
IF(ISNUMBER(SEARCH("SBI",A471)),"State Bank of India",
IF(ISNUMBER(SEARCH("HSBC",A471)),"HSBC",
IF(ISNUMBER(SEARCH("DBS",A471)),"DBS Bank",
IF(ISNUMBER(SEARCH("SCAPIA",A471)),"Scapia",
IF(ISNUMBER(SEARCH("STANDARD CHARTERED",A471)),"Standard Chartered Bank",
IF(ISNUMBER(SEARCH("IDBI",A471)),"IDBI Bank",
IF(ISNUMBER(SEARCH("J&amp;K",A471)),"J&amp;K Bank",
IF(ISNUMBER(SEARCH("JAMMU",A471)),"J&amp;K Bank",
IF(ISNUMBER(SEARCH("FEDERAL",A471)),"Federal Bank",
IF(ISNUMBER(SEARCH("BOBCARD",A471)),"BOB Card",
IF(ISNUMBER(SEARCH("BANK OF BARODA",A471)),"BOB Card",
IF(ISNUMBER(SEARCH("AMEX",A471)),"American Express",
IF(ISNUMBER(SEARCH("PLATINUM",A471)),"American Express",
IF(ISNUMBER(SEARCH("CENTURION",A471)),"American Express",
IF(ISNUMBER(SEARCH("VISA",A471)),"Visa",
IF(ISNUMBER(SEARCH("MASTERCARD",A471)),"Mastercard",
"")))))))))))))))))))))</f>
        <v>J&amp;K Bank</v>
      </c>
      <c r="C471">
        <v>42</v>
      </c>
      <c r="D471">
        <v>0</v>
      </c>
      <c r="E471">
        <v>127</v>
      </c>
      <c r="F471" s="2">
        <v>53121.8</v>
      </c>
      <c r="G471" s="2">
        <v>46660</v>
      </c>
      <c r="H471" s="2">
        <v>0</v>
      </c>
      <c r="I471" s="2">
        <v>33433.800000000003</v>
      </c>
      <c r="J471" s="2">
        <v>19610</v>
      </c>
      <c r="K471" s="3">
        <v>18629.5</v>
      </c>
      <c r="L471" s="3">
        <v>980.5</v>
      </c>
      <c r="M471" s="3">
        <v>6383.8</v>
      </c>
      <c r="N471" s="4" t="s">
        <v>105</v>
      </c>
      <c r="O471" s="3" t="str">
        <f t="shared" si="21"/>
        <v>Online</v>
      </c>
      <c r="P471" s="11">
        <v>5503000</v>
      </c>
      <c r="Q471" s="3">
        <v>3147000000</v>
      </c>
      <c r="R471" s="3">
        <v>2095300000</v>
      </c>
      <c r="S471" s="11">
        <v>8312000</v>
      </c>
    </row>
    <row r="472" spans="1:19" x14ac:dyDescent="0.35">
      <c r="A472" s="1" t="s">
        <v>51</v>
      </c>
      <c r="B472" s="1" t="str">
        <f t="shared" si="22"/>
        <v>Kotak Mahindra Bank</v>
      </c>
      <c r="C472">
        <v>35</v>
      </c>
      <c r="D472">
        <v>0</v>
      </c>
      <c r="E472">
        <v>83</v>
      </c>
      <c r="F472" s="2">
        <v>61784.7</v>
      </c>
      <c r="G472" s="2">
        <v>56535</v>
      </c>
      <c r="H472" s="2">
        <v>0</v>
      </c>
      <c r="I472" s="2">
        <v>50811.7</v>
      </c>
      <c r="J472" s="2">
        <v>10897</v>
      </c>
      <c r="K472" s="3">
        <v>8717.6</v>
      </c>
      <c r="L472" s="3">
        <v>2179.4</v>
      </c>
      <c r="M472" s="3">
        <v>5173.7</v>
      </c>
      <c r="N472" s="4" t="s">
        <v>105</v>
      </c>
      <c r="O472" s="3" t="str">
        <f t="shared" si="21"/>
        <v>Online</v>
      </c>
      <c r="P472" s="11">
        <v>5503000</v>
      </c>
      <c r="Q472" s="3">
        <v>3147000000</v>
      </c>
      <c r="R472" s="3">
        <v>2095300000</v>
      </c>
      <c r="S472" s="11">
        <v>8312000</v>
      </c>
    </row>
    <row r="473" spans="1:19" x14ac:dyDescent="0.35">
      <c r="A473" s="1" t="s">
        <v>52</v>
      </c>
      <c r="B473" s="1" t="str">
        <f t="shared" si="22"/>
        <v>Kotak Mahindra Bank</v>
      </c>
      <c r="C473">
        <v>22</v>
      </c>
      <c r="D473">
        <v>22</v>
      </c>
      <c r="E473">
        <v>54</v>
      </c>
      <c r="F473" s="2">
        <v>50425.2</v>
      </c>
      <c r="G473" s="2">
        <v>46560</v>
      </c>
      <c r="H473" s="2">
        <v>0</v>
      </c>
      <c r="I473" s="2">
        <v>34323.199999999997</v>
      </c>
      <c r="J473" s="2">
        <v>16060</v>
      </c>
      <c r="K473" s="3">
        <v>16060</v>
      </c>
      <c r="L473" s="3">
        <v>0</v>
      </c>
      <c r="M473" s="3">
        <v>3823.2</v>
      </c>
      <c r="N473" s="4" t="s">
        <v>105</v>
      </c>
      <c r="O473" s="3" t="str">
        <f t="shared" si="21"/>
        <v>Online</v>
      </c>
      <c r="P473" s="11">
        <v>5503000</v>
      </c>
      <c r="Q473" s="3">
        <v>3147000000</v>
      </c>
      <c r="R473" s="3">
        <v>2095300000</v>
      </c>
      <c r="S473" s="11">
        <v>8312000</v>
      </c>
    </row>
    <row r="474" spans="1:19" x14ac:dyDescent="0.35">
      <c r="A474" s="1" t="s">
        <v>38</v>
      </c>
      <c r="B474" s="1" t="str">
        <f t="shared" si="22"/>
        <v>Kotak Mahindra Bank</v>
      </c>
      <c r="C474">
        <v>10107</v>
      </c>
      <c r="D474">
        <v>0</v>
      </c>
      <c r="E474">
        <v>23305</v>
      </c>
      <c r="F474" s="2">
        <v>5535495.5300000003</v>
      </c>
      <c r="G474" s="2">
        <v>196940.01</v>
      </c>
      <c r="H474" s="2">
        <v>5337293.22</v>
      </c>
      <c r="I474" s="2">
        <v>4430084.53</v>
      </c>
      <c r="J474" s="2">
        <v>1105391</v>
      </c>
      <c r="K474" s="3">
        <v>0</v>
      </c>
      <c r="L474" s="3">
        <v>1105391</v>
      </c>
      <c r="M474" s="3">
        <v>1242.3</v>
      </c>
      <c r="N474" s="4" t="s">
        <v>105</v>
      </c>
      <c r="O474" s="3" t="str">
        <f t="shared" si="21"/>
        <v>Other</v>
      </c>
      <c r="P474" s="11">
        <v>5503000</v>
      </c>
      <c r="Q474" s="3">
        <v>3147000000</v>
      </c>
      <c r="R474" s="3">
        <v>2095300000</v>
      </c>
      <c r="S474" s="11">
        <v>8312000</v>
      </c>
    </row>
    <row r="475" spans="1:19" x14ac:dyDescent="0.35">
      <c r="A475" s="1" t="s">
        <v>58</v>
      </c>
      <c r="B475" s="1" t="str">
        <f t="shared" si="22"/>
        <v>Kotak Mahindra Bank</v>
      </c>
      <c r="C475">
        <v>2218</v>
      </c>
      <c r="D475">
        <v>0</v>
      </c>
      <c r="E475">
        <v>5136</v>
      </c>
      <c r="F475" s="2">
        <v>1362507.45</v>
      </c>
      <c r="G475" s="2">
        <v>1305332.01</v>
      </c>
      <c r="H475" s="2">
        <v>0</v>
      </c>
      <c r="I475" s="2">
        <v>1309056.49</v>
      </c>
      <c r="J475" s="2">
        <v>52427</v>
      </c>
      <c r="K475" s="3">
        <v>0</v>
      </c>
      <c r="L475" s="3">
        <v>52427</v>
      </c>
      <c r="M475" s="3">
        <v>56544.18</v>
      </c>
      <c r="N475" s="4" t="s">
        <v>105</v>
      </c>
      <c r="O475" s="3" t="str">
        <f t="shared" si="21"/>
        <v>Other</v>
      </c>
      <c r="P475" s="11">
        <v>5503000</v>
      </c>
      <c r="Q475" s="3">
        <v>3147000000</v>
      </c>
      <c r="R475" s="3">
        <v>2095300000</v>
      </c>
      <c r="S475" s="11">
        <v>8312000</v>
      </c>
    </row>
    <row r="476" spans="1:19" x14ac:dyDescent="0.35">
      <c r="A476" s="1" t="s">
        <v>80</v>
      </c>
      <c r="B476" s="1" t="str">
        <f t="shared" si="22"/>
        <v>State Bank of India</v>
      </c>
      <c r="C476">
        <v>442</v>
      </c>
      <c r="D476">
        <v>0</v>
      </c>
      <c r="E476">
        <v>1442</v>
      </c>
      <c r="F476" s="2">
        <v>386108.06</v>
      </c>
      <c r="G476" s="2">
        <v>387610.56</v>
      </c>
      <c r="H476" s="2">
        <v>0</v>
      </c>
      <c r="I476" s="2">
        <v>352622.06</v>
      </c>
      <c r="J476" s="2">
        <v>33486</v>
      </c>
      <c r="K476" s="3">
        <v>16743</v>
      </c>
      <c r="L476" s="3">
        <v>16743</v>
      </c>
      <c r="M476" s="3">
        <v>0</v>
      </c>
      <c r="N476" s="4" t="s">
        <v>105</v>
      </c>
      <c r="O476" s="3" t="str">
        <f t="shared" si="21"/>
        <v>Offline - Box Office</v>
      </c>
      <c r="P476" s="11">
        <v>5503000</v>
      </c>
      <c r="Q476" s="3">
        <v>3147000000</v>
      </c>
      <c r="R476" s="3">
        <v>2095300000</v>
      </c>
      <c r="S476" s="11">
        <v>8312000</v>
      </c>
    </row>
    <row r="477" spans="1:19" x14ac:dyDescent="0.35">
      <c r="A477" s="1" t="s">
        <v>65</v>
      </c>
      <c r="B477" s="1" t="str">
        <f t="shared" si="22"/>
        <v>State Bank of India</v>
      </c>
      <c r="C477">
        <v>305</v>
      </c>
      <c r="D477">
        <v>0</v>
      </c>
      <c r="E477">
        <v>928</v>
      </c>
      <c r="F477" s="2">
        <v>309487.62</v>
      </c>
      <c r="G477" s="2">
        <v>262421.21000000002</v>
      </c>
      <c r="H477" s="2">
        <v>11085</v>
      </c>
      <c r="I477" s="2">
        <v>284731.62</v>
      </c>
      <c r="J477" s="2">
        <v>24034</v>
      </c>
      <c r="K477" s="3">
        <v>12017</v>
      </c>
      <c r="L477" s="3">
        <v>12017</v>
      </c>
      <c r="M477" s="3">
        <v>35614.019999999997</v>
      </c>
      <c r="N477" s="4" t="s">
        <v>105</v>
      </c>
      <c r="O477" s="3" t="str">
        <f t="shared" si="21"/>
        <v>Online</v>
      </c>
      <c r="P477" s="11">
        <v>5503000</v>
      </c>
      <c r="Q477" s="3">
        <v>3147000000</v>
      </c>
      <c r="R477" s="3">
        <v>2095300000</v>
      </c>
      <c r="S477" s="11">
        <v>8312000</v>
      </c>
    </row>
    <row r="478" spans="1:19" x14ac:dyDescent="0.35">
      <c r="A478" s="1" t="s">
        <v>66</v>
      </c>
      <c r="B478" s="1" t="str">
        <f t="shared" si="22"/>
        <v>State Bank of India</v>
      </c>
      <c r="C478">
        <v>2246</v>
      </c>
      <c r="D478">
        <v>0</v>
      </c>
      <c r="E478">
        <v>7855</v>
      </c>
      <c r="F478" s="2">
        <v>1945002.44</v>
      </c>
      <c r="G478" s="2">
        <v>0</v>
      </c>
      <c r="H478" s="2">
        <v>1945002.44</v>
      </c>
      <c r="I478" s="2">
        <v>1772288.44</v>
      </c>
      <c r="J478" s="2">
        <v>172714</v>
      </c>
      <c r="K478" s="3">
        <v>86357</v>
      </c>
      <c r="L478" s="3">
        <v>86357</v>
      </c>
      <c r="M478" s="3">
        <v>0</v>
      </c>
      <c r="N478" s="4" t="s">
        <v>105</v>
      </c>
      <c r="O478" s="3" t="str">
        <f t="shared" si="21"/>
        <v>Offline - F&amp;B</v>
      </c>
      <c r="P478" s="11">
        <v>5503000</v>
      </c>
      <c r="Q478" s="3">
        <v>3147000000</v>
      </c>
      <c r="R478" s="3">
        <v>2095300000</v>
      </c>
      <c r="S478" s="11">
        <v>8312000</v>
      </c>
    </row>
    <row r="479" spans="1:19" x14ac:dyDescent="0.35">
      <c r="A479" s="1" t="s">
        <v>101</v>
      </c>
      <c r="B479" s="1" t="str">
        <f t="shared" si="22"/>
        <v>Scapia</v>
      </c>
      <c r="C479">
        <v>11</v>
      </c>
      <c r="D479">
        <v>0</v>
      </c>
      <c r="E479">
        <v>18</v>
      </c>
      <c r="F479" s="2">
        <v>6805</v>
      </c>
      <c r="G479" s="2">
        <v>6805</v>
      </c>
      <c r="H479" s="2">
        <v>0</v>
      </c>
      <c r="I479" s="2">
        <v>5462</v>
      </c>
      <c r="J479" s="2">
        <v>1343</v>
      </c>
      <c r="K479" s="3">
        <v>940.1</v>
      </c>
      <c r="L479" s="3">
        <v>402.9</v>
      </c>
      <c r="M479" s="3">
        <v>0</v>
      </c>
      <c r="N479" s="4" t="s">
        <v>105</v>
      </c>
      <c r="O479" s="3" t="str">
        <f t="shared" si="21"/>
        <v>Online</v>
      </c>
      <c r="P479" s="11">
        <v>5503000</v>
      </c>
      <c r="Q479" s="3">
        <v>3147000000</v>
      </c>
      <c r="R479" s="3">
        <v>2095300000</v>
      </c>
      <c r="S479" s="11">
        <v>8312000</v>
      </c>
    </row>
    <row r="480" spans="1:19" x14ac:dyDescent="0.35">
      <c r="A480" s="1" t="s">
        <v>102</v>
      </c>
      <c r="B480" s="1" t="str">
        <f t="shared" si="22"/>
        <v>Scapia</v>
      </c>
      <c r="C480">
        <v>86</v>
      </c>
      <c r="D480">
        <v>0</v>
      </c>
      <c r="E480">
        <v>203</v>
      </c>
      <c r="F480" s="2">
        <v>58209.01</v>
      </c>
      <c r="G480" s="2">
        <v>0</v>
      </c>
      <c r="H480" s="2">
        <v>58209.01</v>
      </c>
      <c r="I480" s="2">
        <v>47967.01</v>
      </c>
      <c r="J480" s="2">
        <v>10242</v>
      </c>
      <c r="K480" s="3">
        <v>7169.4</v>
      </c>
      <c r="L480" s="3">
        <v>3072.6</v>
      </c>
      <c r="M480" s="3">
        <v>0</v>
      </c>
      <c r="N480" s="4" t="s">
        <v>105</v>
      </c>
      <c r="O480" s="3" t="str">
        <f t="shared" si="21"/>
        <v>Offline - F&amp;B</v>
      </c>
      <c r="P480" s="11">
        <v>5503000</v>
      </c>
      <c r="Q480" s="3">
        <v>3147000000</v>
      </c>
      <c r="R480" s="3">
        <v>2095300000</v>
      </c>
      <c r="S480" s="11">
        <v>8312000</v>
      </c>
    </row>
    <row r="481" spans="1:19" x14ac:dyDescent="0.35">
      <c r="A481" s="1" t="s">
        <v>103</v>
      </c>
      <c r="B481" s="1" t="str">
        <f t="shared" si="22"/>
        <v>Scapia</v>
      </c>
      <c r="C481">
        <v>27</v>
      </c>
      <c r="D481">
        <v>27</v>
      </c>
      <c r="E481">
        <v>72</v>
      </c>
      <c r="F481" s="2">
        <v>19500.080000000002</v>
      </c>
      <c r="G481" s="2">
        <v>19654.13</v>
      </c>
      <c r="H481" s="2">
        <v>0</v>
      </c>
      <c r="I481" s="2">
        <v>16800.080000000002</v>
      </c>
      <c r="J481" s="2">
        <v>2700</v>
      </c>
      <c r="K481" s="3">
        <v>2700</v>
      </c>
      <c r="L481" s="3">
        <v>0</v>
      </c>
      <c r="M481" s="3">
        <v>0</v>
      </c>
      <c r="N481" s="4" t="s">
        <v>105</v>
      </c>
      <c r="O481" s="3" t="str">
        <f t="shared" si="21"/>
        <v>Offline - Box Office</v>
      </c>
      <c r="P481" s="11">
        <v>5503000</v>
      </c>
      <c r="Q481" s="3">
        <v>3147000000</v>
      </c>
      <c r="R481" s="3">
        <v>2095300000</v>
      </c>
      <c r="S481" s="11">
        <v>8312000</v>
      </c>
    </row>
    <row r="482" spans="1:19" x14ac:dyDescent="0.35">
      <c r="A482" s="1" t="s">
        <v>81</v>
      </c>
      <c r="B482" s="1" t="str">
        <f t="shared" si="22"/>
        <v>Scapia</v>
      </c>
      <c r="C482">
        <v>40</v>
      </c>
      <c r="D482">
        <v>40</v>
      </c>
      <c r="E482">
        <v>99</v>
      </c>
      <c r="F482" s="2">
        <v>30826.36</v>
      </c>
      <c r="G482" s="2">
        <v>26930.16</v>
      </c>
      <c r="H482" s="2">
        <v>0</v>
      </c>
      <c r="I482" s="2">
        <v>26726.36</v>
      </c>
      <c r="J482" s="2">
        <v>4000</v>
      </c>
      <c r="K482" s="3">
        <v>4000</v>
      </c>
      <c r="L482" s="3">
        <v>0</v>
      </c>
      <c r="M482" s="3">
        <v>3863.32</v>
      </c>
      <c r="N482" s="4" t="s">
        <v>105</v>
      </c>
      <c r="O482" s="3" t="str">
        <f t="shared" si="21"/>
        <v>Online</v>
      </c>
      <c r="P482" s="11">
        <v>5503000</v>
      </c>
      <c r="Q482" s="3">
        <v>3147000000</v>
      </c>
      <c r="R482" s="3">
        <v>2095300000</v>
      </c>
      <c r="S482" s="11">
        <v>8312000</v>
      </c>
    </row>
    <row r="483" spans="1:19" x14ac:dyDescent="0.35">
      <c r="A483" s="1" t="s">
        <v>40</v>
      </c>
      <c r="B483" s="1" t="str">
        <f t="shared" si="22"/>
        <v>Standard Chartered Bank</v>
      </c>
      <c r="C483">
        <v>15</v>
      </c>
      <c r="D483">
        <v>15</v>
      </c>
      <c r="E483">
        <v>37</v>
      </c>
      <c r="F483" s="2">
        <v>8665</v>
      </c>
      <c r="G483" s="2">
        <v>8665</v>
      </c>
      <c r="H483" s="2">
        <v>0</v>
      </c>
      <c r="I483" s="2">
        <v>5815</v>
      </c>
      <c r="J483" s="2">
        <v>2850</v>
      </c>
      <c r="K483" s="3">
        <v>2850</v>
      </c>
      <c r="L483" s="3">
        <v>0</v>
      </c>
      <c r="M483" s="3">
        <v>0</v>
      </c>
      <c r="N483" s="4" t="s">
        <v>105</v>
      </c>
      <c r="O483" s="3" t="str">
        <f t="shared" si="21"/>
        <v>Offline - Box Office</v>
      </c>
      <c r="P483" s="11">
        <v>5503000</v>
      </c>
      <c r="Q483" s="3">
        <v>3147000000</v>
      </c>
      <c r="R483" s="3">
        <v>2095300000</v>
      </c>
      <c r="S483" s="11">
        <v>8312000</v>
      </c>
    </row>
    <row r="484" spans="1:19" x14ac:dyDescent="0.35">
      <c r="A484" s="1" t="s">
        <v>41</v>
      </c>
      <c r="B484" s="1" t="str">
        <f t="shared" si="22"/>
        <v>Standard Chartered Bank</v>
      </c>
      <c r="C484">
        <v>71</v>
      </c>
      <c r="D484">
        <v>71</v>
      </c>
      <c r="E484">
        <v>151</v>
      </c>
      <c r="F484" s="2">
        <v>39565.449999999997</v>
      </c>
      <c r="G484" s="2">
        <v>34571.15</v>
      </c>
      <c r="H484" s="2">
        <v>190</v>
      </c>
      <c r="I484" s="2">
        <v>25876.15</v>
      </c>
      <c r="J484" s="2">
        <v>13587.3</v>
      </c>
      <c r="K484" s="3">
        <v>13587.3</v>
      </c>
      <c r="L484" s="3">
        <v>0</v>
      </c>
      <c r="M484" s="3">
        <v>4702.3</v>
      </c>
      <c r="N484" s="4" t="s">
        <v>105</v>
      </c>
      <c r="O484" s="3" t="str">
        <f t="shared" si="21"/>
        <v>Online</v>
      </c>
      <c r="P484" s="11">
        <v>5503000</v>
      </c>
      <c r="Q484" s="3">
        <v>3147000000</v>
      </c>
      <c r="R484" s="3">
        <v>2095300000</v>
      </c>
      <c r="S484" s="11">
        <v>8312000</v>
      </c>
    </row>
    <row r="485" spans="1:19" x14ac:dyDescent="0.35">
      <c r="A485" s="1" t="s">
        <v>106</v>
      </c>
      <c r="B485" s="1" t="str">
        <f t="shared" si="22"/>
        <v>Visa</v>
      </c>
      <c r="C485">
        <v>356</v>
      </c>
      <c r="D485">
        <v>0</v>
      </c>
      <c r="E485">
        <v>2969</v>
      </c>
      <c r="F485" s="2">
        <v>901067.79</v>
      </c>
      <c r="G485" s="2">
        <v>0</v>
      </c>
      <c r="H485" s="2">
        <v>901067.79</v>
      </c>
      <c r="I485" s="2">
        <v>829867.79</v>
      </c>
      <c r="J485" s="2">
        <v>71200</v>
      </c>
      <c r="K485" s="3">
        <v>71200</v>
      </c>
      <c r="L485" s="3">
        <v>0</v>
      </c>
      <c r="M485" s="3">
        <v>0</v>
      </c>
      <c r="N485" s="4" t="s">
        <v>105</v>
      </c>
      <c r="O485" s="3" t="str">
        <f t="shared" si="21"/>
        <v>Offline - F&amp;B</v>
      </c>
      <c r="P485" s="11">
        <v>5503000</v>
      </c>
      <c r="Q485" s="3">
        <v>3147000000</v>
      </c>
      <c r="R485" s="3">
        <v>2095300000</v>
      </c>
      <c r="S485" s="11">
        <v>8312000</v>
      </c>
    </row>
    <row r="486" spans="1:19" x14ac:dyDescent="0.35">
      <c r="A486" s="1" t="s">
        <v>107</v>
      </c>
      <c r="B486" s="1" t="str">
        <f t="shared" si="22"/>
        <v>Visa</v>
      </c>
      <c r="C486">
        <v>227</v>
      </c>
      <c r="D486">
        <v>0</v>
      </c>
      <c r="E486">
        <v>923</v>
      </c>
      <c r="F486" s="2">
        <v>315267.96999999997</v>
      </c>
      <c r="G486" s="2">
        <v>315267.96999999997</v>
      </c>
      <c r="H486" s="2">
        <v>0</v>
      </c>
      <c r="I486" s="2">
        <v>315040.96999999997</v>
      </c>
      <c r="J486" s="2">
        <v>227</v>
      </c>
      <c r="K486" s="3">
        <v>227</v>
      </c>
      <c r="L486" s="3">
        <v>0</v>
      </c>
      <c r="M486" s="3">
        <v>0</v>
      </c>
      <c r="N486" s="4" t="s">
        <v>105</v>
      </c>
      <c r="O486" s="3" t="str">
        <f t="shared" si="21"/>
        <v>Other</v>
      </c>
      <c r="P486" s="11">
        <v>5503000</v>
      </c>
      <c r="Q486" s="3">
        <v>3147000000</v>
      </c>
      <c r="R486" s="3">
        <v>2095300000</v>
      </c>
      <c r="S486" s="11">
        <v>8312000</v>
      </c>
    </row>
    <row r="487" spans="1:19" x14ac:dyDescent="0.35">
      <c r="A487" s="1" t="s">
        <v>108</v>
      </c>
      <c r="B487" s="1" t="str">
        <f t="shared" si="22"/>
        <v>Visa</v>
      </c>
      <c r="C487">
        <v>1994</v>
      </c>
      <c r="D487">
        <v>0</v>
      </c>
      <c r="E487">
        <v>4647</v>
      </c>
      <c r="F487" s="2">
        <v>1165280.98</v>
      </c>
      <c r="G487" s="2">
        <v>0</v>
      </c>
      <c r="H487" s="2">
        <v>1165280.98</v>
      </c>
      <c r="I487" s="2">
        <v>933280.98</v>
      </c>
      <c r="J487" s="2">
        <v>232000</v>
      </c>
      <c r="K487" s="3">
        <v>232000</v>
      </c>
      <c r="L487" s="3">
        <v>0</v>
      </c>
      <c r="M487" s="3">
        <v>0</v>
      </c>
      <c r="N487" s="4" t="s">
        <v>105</v>
      </c>
      <c r="O487" s="3" t="str">
        <f t="shared" si="21"/>
        <v>Offline - F&amp;B</v>
      </c>
      <c r="P487" s="11">
        <v>5503000</v>
      </c>
      <c r="Q487" s="3">
        <v>3147000000</v>
      </c>
      <c r="R487" s="3">
        <v>2095300000</v>
      </c>
      <c r="S487" s="11">
        <v>8312000</v>
      </c>
    </row>
    <row r="488" spans="1:19" x14ac:dyDescent="0.35">
      <c r="A488" s="1" t="s">
        <v>91</v>
      </c>
      <c r="B488" s="1" t="str">
        <f t="shared" si="22"/>
        <v>American Express</v>
      </c>
      <c r="C488">
        <v>309</v>
      </c>
      <c r="D488">
        <v>309</v>
      </c>
      <c r="E488">
        <v>871</v>
      </c>
      <c r="F488" s="2">
        <v>387913.94</v>
      </c>
      <c r="G488" s="2">
        <v>387913.94</v>
      </c>
      <c r="H488" s="2">
        <v>0</v>
      </c>
      <c r="I488" s="2">
        <v>273139.49</v>
      </c>
      <c r="J488" s="2">
        <v>114774.45</v>
      </c>
      <c r="K488" s="3">
        <v>57387.27</v>
      </c>
      <c r="L488" s="3">
        <v>57387.27</v>
      </c>
      <c r="M488" s="3">
        <v>0</v>
      </c>
      <c r="N488" s="4" t="s">
        <v>109</v>
      </c>
      <c r="O488" s="3" t="str">
        <f t="shared" si="21"/>
        <v>Offline - Box Office</v>
      </c>
      <c r="P488" s="11">
        <v>6025000</v>
      </c>
      <c r="Q488" s="3">
        <v>3309100000</v>
      </c>
      <c r="R488" s="3">
        <v>2076200000</v>
      </c>
      <c r="S488" s="11">
        <v>8888000</v>
      </c>
    </row>
    <row r="489" spans="1:19" x14ac:dyDescent="0.35">
      <c r="A489" s="1" t="s">
        <v>93</v>
      </c>
      <c r="B489" s="1" t="str">
        <f t="shared" si="22"/>
        <v>American Express</v>
      </c>
      <c r="C489">
        <v>972</v>
      </c>
      <c r="D489">
        <v>972</v>
      </c>
      <c r="E489">
        <v>2515</v>
      </c>
      <c r="F489" s="2">
        <v>1321097.92</v>
      </c>
      <c r="G489" s="2">
        <v>1171153.2</v>
      </c>
      <c r="H489" s="2">
        <v>15690</v>
      </c>
      <c r="I489" s="2">
        <v>941727.41</v>
      </c>
      <c r="J489" s="2">
        <v>376416.51</v>
      </c>
      <c r="K489" s="3">
        <v>188208.56</v>
      </c>
      <c r="L489" s="3">
        <v>188208.56</v>
      </c>
      <c r="M489" s="3">
        <v>131300.72</v>
      </c>
      <c r="N489" s="4" t="s">
        <v>109</v>
      </c>
      <c r="O489" s="3" t="str">
        <f t="shared" si="21"/>
        <v>Online</v>
      </c>
      <c r="P489" s="11">
        <v>6025000</v>
      </c>
      <c r="Q489" s="3">
        <v>3309100000</v>
      </c>
      <c r="R489" s="3">
        <v>2076200000</v>
      </c>
      <c r="S489" s="11">
        <v>8888000</v>
      </c>
    </row>
    <row r="490" spans="1:19" x14ac:dyDescent="0.35">
      <c r="A490" s="1" t="s">
        <v>59</v>
      </c>
      <c r="B490" s="1" t="str">
        <f t="shared" si="22"/>
        <v>AU Bank</v>
      </c>
      <c r="C490">
        <v>163</v>
      </c>
      <c r="D490">
        <v>0</v>
      </c>
      <c r="E490">
        <v>558</v>
      </c>
      <c r="F490" s="2">
        <v>160008.6</v>
      </c>
      <c r="G490" s="2">
        <v>160008.6</v>
      </c>
      <c r="H490" s="2">
        <v>0</v>
      </c>
      <c r="I490" s="2">
        <v>143708.6</v>
      </c>
      <c r="J490" s="2">
        <v>16300</v>
      </c>
      <c r="K490" s="3">
        <v>16300</v>
      </c>
      <c r="L490" s="3">
        <v>0</v>
      </c>
      <c r="M490" s="3">
        <v>0</v>
      </c>
      <c r="N490" s="4" t="s">
        <v>109</v>
      </c>
      <c r="O490" s="3" t="str">
        <f t="shared" si="21"/>
        <v>Offline - Box Office</v>
      </c>
      <c r="P490" s="11">
        <v>6025000</v>
      </c>
      <c r="Q490" s="3">
        <v>3309100000</v>
      </c>
      <c r="R490" s="3">
        <v>2076200000</v>
      </c>
      <c r="S490" s="11">
        <v>8888000</v>
      </c>
    </row>
    <row r="491" spans="1:19" x14ac:dyDescent="0.35">
      <c r="A491" s="1" t="s">
        <v>19</v>
      </c>
      <c r="B491" s="1" t="str">
        <f t="shared" si="22"/>
        <v>AU Bank</v>
      </c>
      <c r="C491">
        <v>227</v>
      </c>
      <c r="D491">
        <v>0</v>
      </c>
      <c r="E491">
        <v>670</v>
      </c>
      <c r="F491" s="2">
        <v>226822.55</v>
      </c>
      <c r="G491" s="2">
        <v>197197.81</v>
      </c>
      <c r="H491" s="2">
        <v>1860</v>
      </c>
      <c r="I491" s="2">
        <v>203562.55</v>
      </c>
      <c r="J491" s="2">
        <v>22700</v>
      </c>
      <c r="K491" s="3">
        <v>22700</v>
      </c>
      <c r="L491" s="3">
        <v>0</v>
      </c>
      <c r="M491" s="3">
        <v>27204.74</v>
      </c>
      <c r="N491" s="4" t="s">
        <v>109</v>
      </c>
      <c r="O491" s="3" t="str">
        <f t="shared" si="21"/>
        <v>Online</v>
      </c>
      <c r="P491" s="11">
        <v>6025000</v>
      </c>
      <c r="Q491" s="3">
        <v>3309100000</v>
      </c>
      <c r="R491" s="3">
        <v>2076200000</v>
      </c>
      <c r="S491" s="11">
        <v>8888000</v>
      </c>
    </row>
    <row r="492" spans="1:19" x14ac:dyDescent="0.35">
      <c r="A492" s="1" t="s">
        <v>43</v>
      </c>
      <c r="B492" s="1" t="str">
        <f t="shared" si="22"/>
        <v>Axis Bank</v>
      </c>
      <c r="C492">
        <v>12</v>
      </c>
      <c r="D492">
        <v>12</v>
      </c>
      <c r="E492">
        <v>33</v>
      </c>
      <c r="F492" s="2">
        <v>8802.18</v>
      </c>
      <c r="G492" s="2">
        <v>8802.18</v>
      </c>
      <c r="H492" s="2">
        <v>0</v>
      </c>
      <c r="I492" s="2">
        <v>6454.59</v>
      </c>
      <c r="J492" s="2">
        <v>2347.59</v>
      </c>
      <c r="K492" s="3">
        <v>2065.88</v>
      </c>
      <c r="L492" s="3">
        <v>281.70999999999998</v>
      </c>
      <c r="M492" s="3">
        <v>0</v>
      </c>
      <c r="N492" s="4" t="s">
        <v>109</v>
      </c>
      <c r="O492" s="3" t="str">
        <f t="shared" si="21"/>
        <v>Offline - Box Office</v>
      </c>
      <c r="P492" s="11">
        <v>6025000</v>
      </c>
      <c r="Q492" s="3">
        <v>3309100000</v>
      </c>
      <c r="R492" s="3">
        <v>2076200000</v>
      </c>
      <c r="S492" s="11">
        <v>8888000</v>
      </c>
    </row>
    <row r="493" spans="1:19" x14ac:dyDescent="0.35">
      <c r="A493" s="1" t="s">
        <v>23</v>
      </c>
      <c r="B493" s="1" t="str">
        <f t="shared" si="22"/>
        <v>Axis Bank</v>
      </c>
      <c r="C493">
        <v>14</v>
      </c>
      <c r="D493">
        <v>14</v>
      </c>
      <c r="E493">
        <v>36</v>
      </c>
      <c r="F493" s="2">
        <v>9029.14</v>
      </c>
      <c r="G493" s="2">
        <v>7842.18</v>
      </c>
      <c r="H493" s="2">
        <v>0</v>
      </c>
      <c r="I493" s="2">
        <v>6351.55</v>
      </c>
      <c r="J493" s="2">
        <v>2637.59</v>
      </c>
      <c r="K493" s="3">
        <v>2241.9499999999998</v>
      </c>
      <c r="L493" s="3">
        <v>395.64</v>
      </c>
      <c r="M493" s="3">
        <v>1146.96</v>
      </c>
      <c r="N493" s="4" t="s">
        <v>109</v>
      </c>
      <c r="O493" s="3" t="str">
        <f t="shared" si="21"/>
        <v>Online</v>
      </c>
      <c r="P493" s="11">
        <v>6025000</v>
      </c>
      <c r="Q493" s="3">
        <v>3309100000</v>
      </c>
      <c r="R493" s="3">
        <v>2076200000</v>
      </c>
      <c r="S493" s="11">
        <v>8888000</v>
      </c>
    </row>
    <row r="494" spans="1:19" x14ac:dyDescent="0.35">
      <c r="A494" s="1" t="s">
        <v>44</v>
      </c>
      <c r="B494" s="1" t="str">
        <f t="shared" si="22"/>
        <v>Axis Bank</v>
      </c>
      <c r="C494">
        <v>207</v>
      </c>
      <c r="D494">
        <v>207</v>
      </c>
      <c r="E494">
        <v>514</v>
      </c>
      <c r="F494" s="2">
        <v>118801.09</v>
      </c>
      <c r="G494" s="2">
        <v>118801.09</v>
      </c>
      <c r="H494" s="2">
        <v>0</v>
      </c>
      <c r="I494" s="2">
        <v>80188.94</v>
      </c>
      <c r="J494" s="2">
        <v>38612.15</v>
      </c>
      <c r="K494" s="3">
        <v>33978.720000000001</v>
      </c>
      <c r="L494" s="3">
        <v>4633.43</v>
      </c>
      <c r="M494" s="3">
        <v>0</v>
      </c>
      <c r="N494" s="4" t="s">
        <v>109</v>
      </c>
      <c r="O494" s="3" t="str">
        <f t="shared" si="21"/>
        <v>Offline - Box Office</v>
      </c>
      <c r="P494" s="11">
        <v>6025000</v>
      </c>
      <c r="Q494" s="3">
        <v>3309100000</v>
      </c>
      <c r="R494" s="3">
        <v>2076200000</v>
      </c>
      <c r="S494" s="11">
        <v>8888000</v>
      </c>
    </row>
    <row r="495" spans="1:19" x14ac:dyDescent="0.35">
      <c r="A495" s="1" t="s">
        <v>24</v>
      </c>
      <c r="B495" s="1" t="str">
        <f t="shared" si="22"/>
        <v>Axis Bank</v>
      </c>
      <c r="C495">
        <v>612</v>
      </c>
      <c r="D495">
        <v>612</v>
      </c>
      <c r="E495">
        <v>1418</v>
      </c>
      <c r="F495" s="2">
        <v>357299.92</v>
      </c>
      <c r="G495" s="2">
        <v>308870.86</v>
      </c>
      <c r="H495" s="2">
        <v>2050</v>
      </c>
      <c r="I495" s="2">
        <v>242137.89</v>
      </c>
      <c r="J495" s="2">
        <v>114082.03</v>
      </c>
      <c r="K495" s="3">
        <v>96969.55</v>
      </c>
      <c r="L495" s="3">
        <v>17112.48</v>
      </c>
      <c r="M495" s="3">
        <v>45299.06</v>
      </c>
      <c r="N495" s="4" t="s">
        <v>109</v>
      </c>
      <c r="O495" s="3" t="str">
        <f t="shared" si="21"/>
        <v>Online</v>
      </c>
      <c r="P495" s="11">
        <v>6025000</v>
      </c>
      <c r="Q495" s="3">
        <v>3309100000</v>
      </c>
      <c r="R495" s="3">
        <v>2076200000</v>
      </c>
      <c r="S495" s="11">
        <v>8888000</v>
      </c>
    </row>
    <row r="496" spans="1:19" x14ac:dyDescent="0.35">
      <c r="A496" s="1" t="s">
        <v>54</v>
      </c>
      <c r="B496" s="1" t="str">
        <f t="shared" si="22"/>
        <v>BOB Card</v>
      </c>
      <c r="C496">
        <v>27</v>
      </c>
      <c r="D496">
        <v>0</v>
      </c>
      <c r="E496">
        <v>49</v>
      </c>
      <c r="F496" s="2">
        <v>29475.99</v>
      </c>
      <c r="G496" s="2">
        <v>23131.77</v>
      </c>
      <c r="H496" s="2">
        <v>5450</v>
      </c>
      <c r="I496" s="2">
        <v>27205.99</v>
      </c>
      <c r="J496" s="2">
        <v>2236</v>
      </c>
      <c r="K496" s="3">
        <v>1565.2</v>
      </c>
      <c r="L496" s="3">
        <v>670.8</v>
      </c>
      <c r="M496" s="3">
        <v>860.22</v>
      </c>
      <c r="N496" s="4" t="s">
        <v>109</v>
      </c>
      <c r="O496" s="3" t="str">
        <f t="shared" si="21"/>
        <v>Online</v>
      </c>
      <c r="P496" s="11">
        <v>6025000</v>
      </c>
      <c r="Q496" s="3">
        <v>3309100000</v>
      </c>
      <c r="R496" s="3">
        <v>2076200000</v>
      </c>
      <c r="S496" s="11">
        <v>8888000</v>
      </c>
    </row>
    <row r="497" spans="1:19" x14ac:dyDescent="0.35">
      <c r="A497" s="1" t="s">
        <v>55</v>
      </c>
      <c r="B497" s="1" t="str">
        <f t="shared" si="22"/>
        <v>BOB Card</v>
      </c>
      <c r="C497">
        <v>527</v>
      </c>
      <c r="D497">
        <v>0</v>
      </c>
      <c r="E497">
        <v>1709</v>
      </c>
      <c r="F497" s="2">
        <v>488206.68</v>
      </c>
      <c r="G497" s="2">
        <v>0</v>
      </c>
      <c r="H497" s="2">
        <v>488206.68</v>
      </c>
      <c r="I497" s="2">
        <v>440294.68</v>
      </c>
      <c r="J497" s="2">
        <v>47912</v>
      </c>
      <c r="K497" s="3">
        <v>33538.400000000001</v>
      </c>
      <c r="L497" s="3">
        <v>14373.6</v>
      </c>
      <c r="M497" s="3">
        <v>0</v>
      </c>
      <c r="N497" s="4" t="s">
        <v>109</v>
      </c>
      <c r="O497" s="3" t="str">
        <f t="shared" si="21"/>
        <v>Offline - F&amp;B</v>
      </c>
      <c r="P497" s="11">
        <v>6025000</v>
      </c>
      <c r="Q497" s="3">
        <v>3309100000</v>
      </c>
      <c r="R497" s="3">
        <v>2076200000</v>
      </c>
      <c r="S497" s="11">
        <v>8888000</v>
      </c>
    </row>
    <row r="498" spans="1:19" x14ac:dyDescent="0.35">
      <c r="A498" s="1" t="s">
        <v>73</v>
      </c>
      <c r="B498" s="1" t="str">
        <f t="shared" si="22"/>
        <v>Federal Bank</v>
      </c>
      <c r="C498">
        <v>1043</v>
      </c>
      <c r="D498">
        <v>1043</v>
      </c>
      <c r="E498">
        <v>3063</v>
      </c>
      <c r="F498" s="2">
        <v>755375.67</v>
      </c>
      <c r="G498" s="2">
        <v>755375.67</v>
      </c>
      <c r="H498" s="2">
        <v>0</v>
      </c>
      <c r="I498" s="2">
        <v>651283.62</v>
      </c>
      <c r="J498" s="2">
        <v>104092.05</v>
      </c>
      <c r="K498" s="3">
        <v>83273.63</v>
      </c>
      <c r="L498" s="3">
        <v>20818.419999999998</v>
      </c>
      <c r="M498" s="3">
        <v>0</v>
      </c>
      <c r="N498" s="4" t="s">
        <v>109</v>
      </c>
      <c r="O498" s="3" t="str">
        <f t="shared" si="21"/>
        <v>Offline - Box Office</v>
      </c>
      <c r="P498" s="11">
        <v>6025000</v>
      </c>
      <c r="Q498" s="3">
        <v>3309100000</v>
      </c>
      <c r="R498" s="3">
        <v>2076200000</v>
      </c>
      <c r="S498" s="11">
        <v>8888000</v>
      </c>
    </row>
    <row r="499" spans="1:19" x14ac:dyDescent="0.35">
      <c r="A499" s="1" t="s">
        <v>74</v>
      </c>
      <c r="B499" s="1" t="str">
        <f t="shared" si="22"/>
        <v>Federal Bank</v>
      </c>
      <c r="C499">
        <v>682</v>
      </c>
      <c r="D499">
        <v>682</v>
      </c>
      <c r="E499">
        <v>1772</v>
      </c>
      <c r="F499" s="2">
        <v>446898.15</v>
      </c>
      <c r="G499" s="2">
        <v>381003.75</v>
      </c>
      <c r="H499" s="2">
        <v>4490</v>
      </c>
      <c r="I499" s="2">
        <v>378676.63</v>
      </c>
      <c r="J499" s="2">
        <v>66829.52</v>
      </c>
      <c r="K499" s="3">
        <v>53463.56</v>
      </c>
      <c r="L499" s="3">
        <v>13365.96</v>
      </c>
      <c r="M499" s="3">
        <v>60012.4</v>
      </c>
      <c r="N499" s="4" t="s">
        <v>109</v>
      </c>
      <c r="O499" s="3" t="str">
        <f t="shared" si="21"/>
        <v>Online</v>
      </c>
      <c r="P499" s="11">
        <v>6025000</v>
      </c>
      <c r="Q499" s="3">
        <v>3309100000</v>
      </c>
      <c r="R499" s="3">
        <v>2076200000</v>
      </c>
      <c r="S499" s="11">
        <v>8888000</v>
      </c>
    </row>
    <row r="500" spans="1:19" x14ac:dyDescent="0.35">
      <c r="A500" s="1" t="s">
        <v>27</v>
      </c>
      <c r="B500" s="1" t="str">
        <f t="shared" si="22"/>
        <v>Federal Bank</v>
      </c>
      <c r="C500">
        <v>61</v>
      </c>
      <c r="D500">
        <v>61</v>
      </c>
      <c r="E500">
        <v>195</v>
      </c>
      <c r="F500" s="2">
        <v>52813.43</v>
      </c>
      <c r="G500" s="2">
        <v>52813.43</v>
      </c>
      <c r="H500" s="2">
        <v>0</v>
      </c>
      <c r="I500" s="2">
        <v>46714.43</v>
      </c>
      <c r="J500" s="2">
        <v>6099</v>
      </c>
      <c r="K500" s="3">
        <v>6099</v>
      </c>
      <c r="L500" s="3">
        <v>0</v>
      </c>
      <c r="M500" s="3">
        <v>0</v>
      </c>
      <c r="N500" s="4" t="s">
        <v>109</v>
      </c>
      <c r="O500" s="3" t="str">
        <f t="shared" si="21"/>
        <v>Offline - Box Office</v>
      </c>
      <c r="P500" s="11">
        <v>6025000</v>
      </c>
      <c r="Q500" s="3">
        <v>3309100000</v>
      </c>
      <c r="R500" s="3">
        <v>2076200000</v>
      </c>
      <c r="S500" s="11">
        <v>8888000</v>
      </c>
    </row>
    <row r="501" spans="1:19" x14ac:dyDescent="0.35">
      <c r="A501" s="1" t="s">
        <v>28</v>
      </c>
      <c r="B501" s="1" t="str">
        <f t="shared" si="22"/>
        <v>Federal Bank</v>
      </c>
      <c r="C501">
        <v>56</v>
      </c>
      <c r="D501">
        <v>56</v>
      </c>
      <c r="E501">
        <v>177</v>
      </c>
      <c r="F501" s="2">
        <v>60537.13</v>
      </c>
      <c r="G501" s="2">
        <v>51687.71</v>
      </c>
      <c r="H501" s="2">
        <v>1470</v>
      </c>
      <c r="I501" s="2">
        <v>54805.13</v>
      </c>
      <c r="J501" s="2">
        <v>5596</v>
      </c>
      <c r="K501" s="3">
        <v>5596</v>
      </c>
      <c r="L501" s="3">
        <v>0</v>
      </c>
      <c r="M501" s="3">
        <v>7243.42</v>
      </c>
      <c r="N501" s="4" t="s">
        <v>109</v>
      </c>
      <c r="O501" s="3" t="str">
        <f t="shared" si="21"/>
        <v>Online</v>
      </c>
      <c r="P501" s="11">
        <v>6025000</v>
      </c>
      <c r="Q501" s="3">
        <v>3309100000</v>
      </c>
      <c r="R501" s="3">
        <v>2076200000</v>
      </c>
      <c r="S501" s="11">
        <v>8888000</v>
      </c>
    </row>
    <row r="502" spans="1:19" x14ac:dyDescent="0.35">
      <c r="A502" s="1" t="s">
        <v>29</v>
      </c>
      <c r="B502" s="1" t="str">
        <f t="shared" si="22"/>
        <v>Federal Bank</v>
      </c>
      <c r="C502">
        <v>301</v>
      </c>
      <c r="D502">
        <v>301</v>
      </c>
      <c r="E502">
        <v>891</v>
      </c>
      <c r="F502" s="2">
        <v>211191.97</v>
      </c>
      <c r="G502" s="2">
        <v>211191.97</v>
      </c>
      <c r="H502" s="2">
        <v>0</v>
      </c>
      <c r="I502" s="2">
        <v>181097.97</v>
      </c>
      <c r="J502" s="2">
        <v>30094</v>
      </c>
      <c r="K502" s="3">
        <v>30094</v>
      </c>
      <c r="L502" s="3">
        <v>0</v>
      </c>
      <c r="M502" s="3">
        <v>0</v>
      </c>
      <c r="N502" s="4" t="s">
        <v>109</v>
      </c>
      <c r="O502" s="3" t="str">
        <f t="shared" si="21"/>
        <v>Offline - Box Office</v>
      </c>
      <c r="P502" s="11">
        <v>6025000</v>
      </c>
      <c r="Q502" s="3">
        <v>3309100000</v>
      </c>
      <c r="R502" s="3">
        <v>2076200000</v>
      </c>
      <c r="S502" s="11">
        <v>8888000</v>
      </c>
    </row>
    <row r="503" spans="1:19" x14ac:dyDescent="0.35">
      <c r="A503" s="1" t="s">
        <v>30</v>
      </c>
      <c r="B503" s="1" t="str">
        <f t="shared" si="22"/>
        <v>Federal Bank</v>
      </c>
      <c r="C503">
        <v>167</v>
      </c>
      <c r="D503">
        <v>167</v>
      </c>
      <c r="E503">
        <v>422</v>
      </c>
      <c r="F503" s="2">
        <v>111049.5</v>
      </c>
      <c r="G503" s="2">
        <v>93467.38</v>
      </c>
      <c r="H503" s="2">
        <v>2565.2199999999998</v>
      </c>
      <c r="I503" s="2">
        <v>93230.52</v>
      </c>
      <c r="J503" s="2">
        <v>16527.759999999998</v>
      </c>
      <c r="K503" s="3">
        <v>16527.759999999998</v>
      </c>
      <c r="L503" s="3">
        <v>0</v>
      </c>
      <c r="M503" s="3">
        <v>14620.9</v>
      </c>
      <c r="N503" s="4" t="s">
        <v>109</v>
      </c>
      <c r="O503" s="3" t="str">
        <f t="shared" si="21"/>
        <v>Online</v>
      </c>
      <c r="P503" s="11">
        <v>6025000</v>
      </c>
      <c r="Q503" s="3">
        <v>3309100000</v>
      </c>
      <c r="R503" s="3">
        <v>2076200000</v>
      </c>
      <c r="S503" s="11">
        <v>8888000</v>
      </c>
    </row>
    <row r="504" spans="1:19" x14ac:dyDescent="0.35">
      <c r="A504" s="1" t="s">
        <v>32</v>
      </c>
      <c r="B504" s="1" t="str">
        <f t="shared" si="22"/>
        <v>ICICI Bank</v>
      </c>
      <c r="C504">
        <v>3145</v>
      </c>
      <c r="D504">
        <v>0</v>
      </c>
      <c r="E504">
        <v>9046</v>
      </c>
      <c r="F504" s="2">
        <v>2057164.23</v>
      </c>
      <c r="G504" s="2">
        <v>2057060.66</v>
      </c>
      <c r="H504" s="2">
        <v>279</v>
      </c>
      <c r="I504" s="2">
        <v>1743519.23</v>
      </c>
      <c r="J504" s="2">
        <v>313645</v>
      </c>
      <c r="K504" s="3">
        <v>276007.59999999998</v>
      </c>
      <c r="L504" s="3">
        <v>37637.4</v>
      </c>
      <c r="M504" s="3">
        <v>0</v>
      </c>
      <c r="N504" s="4" t="s">
        <v>109</v>
      </c>
      <c r="O504" s="3" t="str">
        <f t="shared" si="21"/>
        <v>Offline - Box Office</v>
      </c>
      <c r="P504" s="11">
        <v>6025000</v>
      </c>
      <c r="Q504" s="3">
        <v>3309100000</v>
      </c>
      <c r="R504" s="3">
        <v>2076200000</v>
      </c>
      <c r="S504" s="11">
        <v>8888000</v>
      </c>
    </row>
    <row r="505" spans="1:19" x14ac:dyDescent="0.35">
      <c r="A505" s="1" t="s">
        <v>33</v>
      </c>
      <c r="B505" s="1" t="str">
        <f t="shared" si="22"/>
        <v>ICICI Bank</v>
      </c>
      <c r="C505">
        <v>953</v>
      </c>
      <c r="D505">
        <v>0</v>
      </c>
      <c r="E505">
        <v>2684</v>
      </c>
      <c r="F505" s="2">
        <v>720851.91</v>
      </c>
      <c r="G505" s="2">
        <v>616323.18999999994</v>
      </c>
      <c r="H505" s="2">
        <v>12890</v>
      </c>
      <c r="I505" s="2">
        <v>621008.91</v>
      </c>
      <c r="J505" s="2">
        <v>97685</v>
      </c>
      <c r="K505" s="3">
        <v>83032.25</v>
      </c>
      <c r="L505" s="3">
        <v>14652.75</v>
      </c>
      <c r="M505" s="3">
        <v>89480.72</v>
      </c>
      <c r="N505" s="4" t="s">
        <v>109</v>
      </c>
      <c r="O505" s="3" t="str">
        <f t="shared" si="21"/>
        <v>Online</v>
      </c>
      <c r="P505" s="11">
        <v>6025000</v>
      </c>
      <c r="Q505" s="3">
        <v>3309100000</v>
      </c>
      <c r="R505" s="3">
        <v>2076200000</v>
      </c>
      <c r="S505" s="11">
        <v>8888000</v>
      </c>
    </row>
    <row r="506" spans="1:19" x14ac:dyDescent="0.35">
      <c r="A506" s="1" t="s">
        <v>34</v>
      </c>
      <c r="B506" s="1" t="str">
        <f t="shared" si="22"/>
        <v>ICICI Bank</v>
      </c>
      <c r="C506">
        <v>29</v>
      </c>
      <c r="D506">
        <v>0</v>
      </c>
      <c r="E506">
        <v>95</v>
      </c>
      <c r="F506" s="2">
        <v>19178.509999999998</v>
      </c>
      <c r="G506" s="2">
        <v>19178.509999999998</v>
      </c>
      <c r="H506" s="2">
        <v>0</v>
      </c>
      <c r="I506" s="2">
        <v>17629.509999999998</v>
      </c>
      <c r="J506" s="2">
        <v>1549</v>
      </c>
      <c r="K506" s="3">
        <v>1363.12</v>
      </c>
      <c r="L506" s="3">
        <v>185.88</v>
      </c>
      <c r="M506" s="3">
        <v>0</v>
      </c>
      <c r="N506" s="4" t="s">
        <v>109</v>
      </c>
      <c r="O506" s="3" t="str">
        <f t="shared" si="21"/>
        <v>Offline - Box Office</v>
      </c>
      <c r="P506" s="11">
        <v>6025000</v>
      </c>
      <c r="Q506" s="3">
        <v>3309100000</v>
      </c>
      <c r="R506" s="3">
        <v>2076200000</v>
      </c>
      <c r="S506" s="11">
        <v>8888000</v>
      </c>
    </row>
    <row r="507" spans="1:19" x14ac:dyDescent="0.35">
      <c r="A507" s="1" t="s">
        <v>35</v>
      </c>
      <c r="B507" s="1" t="str">
        <f t="shared" si="22"/>
        <v>ICICI Bank</v>
      </c>
      <c r="C507">
        <v>15</v>
      </c>
      <c r="D507">
        <v>0</v>
      </c>
      <c r="E507">
        <v>37</v>
      </c>
      <c r="F507" s="2">
        <v>11558.88</v>
      </c>
      <c r="G507" s="2">
        <v>10219.18</v>
      </c>
      <c r="H507" s="2">
        <v>0</v>
      </c>
      <c r="I507" s="2">
        <v>10609.88</v>
      </c>
      <c r="J507" s="2">
        <v>925</v>
      </c>
      <c r="K507" s="3">
        <v>786.25</v>
      </c>
      <c r="L507" s="3">
        <v>138.75</v>
      </c>
      <c r="M507" s="3">
        <v>1315.7</v>
      </c>
      <c r="N507" s="4" t="s">
        <v>109</v>
      </c>
      <c r="O507" s="3" t="str">
        <f t="shared" si="21"/>
        <v>Online</v>
      </c>
      <c r="P507" s="11">
        <v>6025000</v>
      </c>
      <c r="Q507" s="3">
        <v>3309100000</v>
      </c>
      <c r="R507" s="3">
        <v>2076200000</v>
      </c>
      <c r="S507" s="11">
        <v>8888000</v>
      </c>
    </row>
    <row r="508" spans="1:19" x14ac:dyDescent="0.35">
      <c r="A508" s="1" t="s">
        <v>110</v>
      </c>
      <c r="B508" s="1" t="str">
        <f t="shared" si="22"/>
        <v>IDBI Bank</v>
      </c>
      <c r="C508">
        <v>113</v>
      </c>
      <c r="D508">
        <v>0</v>
      </c>
      <c r="E508">
        <v>481</v>
      </c>
      <c r="F508" s="2">
        <v>145679.10999999999</v>
      </c>
      <c r="G508" s="2">
        <v>145679.10999999999</v>
      </c>
      <c r="H508" s="2">
        <v>0</v>
      </c>
      <c r="I508" s="2">
        <v>129790.11</v>
      </c>
      <c r="J508" s="2">
        <v>15889</v>
      </c>
      <c r="K508" s="3">
        <v>15094.55</v>
      </c>
      <c r="L508" s="3">
        <v>794.45</v>
      </c>
      <c r="M508" s="3">
        <v>0</v>
      </c>
      <c r="N508" s="4" t="s">
        <v>109</v>
      </c>
      <c r="O508" s="3" t="str">
        <f t="shared" si="21"/>
        <v>Offline - Box Office</v>
      </c>
      <c r="P508" s="11">
        <v>6025000</v>
      </c>
      <c r="Q508" s="3">
        <v>3309100000</v>
      </c>
      <c r="R508" s="3">
        <v>2076200000</v>
      </c>
      <c r="S508" s="11">
        <v>8888000</v>
      </c>
    </row>
    <row r="509" spans="1:19" x14ac:dyDescent="0.35">
      <c r="A509" s="1" t="s">
        <v>111</v>
      </c>
      <c r="B509" s="1" t="str">
        <f t="shared" si="22"/>
        <v>IDBI Bank</v>
      </c>
      <c r="C509">
        <v>53</v>
      </c>
      <c r="D509">
        <v>0</v>
      </c>
      <c r="E509">
        <v>202</v>
      </c>
      <c r="F509" s="2">
        <v>76141.3</v>
      </c>
      <c r="G509" s="2">
        <v>63653.3</v>
      </c>
      <c r="H509" s="2">
        <v>3820</v>
      </c>
      <c r="I509" s="2">
        <v>68643.3</v>
      </c>
      <c r="J509" s="2">
        <v>7326</v>
      </c>
      <c r="K509" s="3">
        <v>7326</v>
      </c>
      <c r="L509" s="3">
        <v>0</v>
      </c>
      <c r="M509" s="3">
        <v>8496</v>
      </c>
      <c r="N509" s="4" t="s">
        <v>109</v>
      </c>
      <c r="O509" s="3" t="str">
        <f t="shared" si="21"/>
        <v>Online</v>
      </c>
      <c r="P509" s="11">
        <v>6025000</v>
      </c>
      <c r="Q509" s="3">
        <v>3309100000</v>
      </c>
      <c r="R509" s="3">
        <v>2076200000</v>
      </c>
      <c r="S509" s="11">
        <v>8888000</v>
      </c>
    </row>
    <row r="510" spans="1:19" x14ac:dyDescent="0.35">
      <c r="A510" s="1" t="s">
        <v>112</v>
      </c>
      <c r="B510" s="1" t="str">
        <f t="shared" si="22"/>
        <v>IDBI Bank</v>
      </c>
      <c r="C510">
        <v>210</v>
      </c>
      <c r="D510">
        <v>0</v>
      </c>
      <c r="E510">
        <v>968</v>
      </c>
      <c r="F510" s="2">
        <v>249876.28</v>
      </c>
      <c r="G510" s="2">
        <v>0</v>
      </c>
      <c r="H510" s="2">
        <v>249876.28</v>
      </c>
      <c r="I510" s="2">
        <v>220373.28</v>
      </c>
      <c r="J510" s="2">
        <v>29503</v>
      </c>
      <c r="K510" s="3">
        <v>20652.099999999999</v>
      </c>
      <c r="L510" s="3">
        <v>8850.9</v>
      </c>
      <c r="M510" s="3">
        <v>0</v>
      </c>
      <c r="N510" s="4" t="s">
        <v>109</v>
      </c>
      <c r="O510" s="3" t="str">
        <f t="shared" si="21"/>
        <v>Offline - F&amp;B</v>
      </c>
      <c r="P510" s="11">
        <v>6025000</v>
      </c>
      <c r="Q510" s="3">
        <v>3309100000</v>
      </c>
      <c r="R510" s="3">
        <v>2076200000</v>
      </c>
      <c r="S510" s="11">
        <v>8888000</v>
      </c>
    </row>
    <row r="511" spans="1:19" x14ac:dyDescent="0.35">
      <c r="A511" s="1" t="s">
        <v>87</v>
      </c>
      <c r="B511" s="1" t="str">
        <f t="shared" si="22"/>
        <v>J&amp;K Bank</v>
      </c>
      <c r="C511">
        <v>1</v>
      </c>
      <c r="D511">
        <v>0</v>
      </c>
      <c r="E511">
        <v>4</v>
      </c>
      <c r="F511" s="2">
        <v>1388.8</v>
      </c>
      <c r="G511" s="2">
        <v>1200</v>
      </c>
      <c r="H511" s="2">
        <v>0</v>
      </c>
      <c r="I511" s="2">
        <v>888.8</v>
      </c>
      <c r="J511" s="2">
        <v>500</v>
      </c>
      <c r="K511" s="3">
        <v>500</v>
      </c>
      <c r="L511" s="3">
        <v>0</v>
      </c>
      <c r="M511" s="3">
        <v>188.8</v>
      </c>
      <c r="N511" s="4" t="s">
        <v>109</v>
      </c>
      <c r="O511" s="3" t="str">
        <f t="shared" si="21"/>
        <v>Online</v>
      </c>
      <c r="P511" s="11">
        <v>6025000</v>
      </c>
      <c r="Q511" s="3">
        <v>3309100000</v>
      </c>
      <c r="R511" s="3">
        <v>2076200000</v>
      </c>
      <c r="S511" s="11">
        <v>8888000</v>
      </c>
    </row>
    <row r="512" spans="1:19" x14ac:dyDescent="0.35">
      <c r="A512" s="1" t="s">
        <v>75</v>
      </c>
      <c r="B512" s="1" t="str">
        <f t="shared" si="22"/>
        <v>J&amp;K Bank</v>
      </c>
      <c r="C512">
        <v>9</v>
      </c>
      <c r="D512">
        <v>0</v>
      </c>
      <c r="E512">
        <v>28</v>
      </c>
      <c r="F512" s="2">
        <v>14181.12</v>
      </c>
      <c r="G512" s="2">
        <v>12630</v>
      </c>
      <c r="H512" s="2">
        <v>0</v>
      </c>
      <c r="I512" s="2">
        <v>9835.1200000000008</v>
      </c>
      <c r="J512" s="2">
        <v>4310</v>
      </c>
      <c r="K512" s="3">
        <v>4094.5</v>
      </c>
      <c r="L512" s="3">
        <v>215.5</v>
      </c>
      <c r="M512" s="3">
        <v>1515.12</v>
      </c>
      <c r="N512" s="4" t="s">
        <v>109</v>
      </c>
      <c r="O512" s="3" t="str">
        <f t="shared" si="21"/>
        <v>Online</v>
      </c>
      <c r="P512" s="11">
        <v>6025000</v>
      </c>
      <c r="Q512" s="3">
        <v>3309100000</v>
      </c>
      <c r="R512" s="3">
        <v>2076200000</v>
      </c>
      <c r="S512" s="11">
        <v>8888000</v>
      </c>
    </row>
    <row r="513" spans="1:19" x14ac:dyDescent="0.35">
      <c r="A513" s="1" t="s">
        <v>98</v>
      </c>
      <c r="B513" s="1" t="str">
        <f t="shared" si="22"/>
        <v>J&amp;K Bank</v>
      </c>
      <c r="C513">
        <v>6</v>
      </c>
      <c r="D513">
        <v>0</v>
      </c>
      <c r="E513">
        <v>15</v>
      </c>
      <c r="F513" s="2">
        <v>6529.64</v>
      </c>
      <c r="G513" s="2">
        <v>5690</v>
      </c>
      <c r="H513" s="2">
        <v>0</v>
      </c>
      <c r="I513" s="2">
        <v>3743.64</v>
      </c>
      <c r="J513" s="2">
        <v>2770</v>
      </c>
      <c r="K513" s="3">
        <v>2770</v>
      </c>
      <c r="L513" s="3">
        <v>0</v>
      </c>
      <c r="M513" s="3">
        <v>823.64</v>
      </c>
      <c r="N513" s="4" t="s">
        <v>109</v>
      </c>
      <c r="O513" s="3" t="str">
        <f t="shared" si="21"/>
        <v>Other</v>
      </c>
      <c r="P513" s="11">
        <v>6025000</v>
      </c>
      <c r="Q513" s="3">
        <v>3309100000</v>
      </c>
      <c r="R513" s="3">
        <v>2076200000</v>
      </c>
      <c r="S513" s="11">
        <v>8888000</v>
      </c>
    </row>
    <row r="514" spans="1:19" x14ac:dyDescent="0.35">
      <c r="A514" s="1" t="s">
        <v>88</v>
      </c>
      <c r="B514" s="1" t="str">
        <f t="shared" si="22"/>
        <v>J&amp;K Bank</v>
      </c>
      <c r="C514">
        <v>1</v>
      </c>
      <c r="D514">
        <v>0</v>
      </c>
      <c r="E514">
        <v>2</v>
      </c>
      <c r="F514" s="2">
        <v>1000</v>
      </c>
      <c r="G514" s="2">
        <v>1000</v>
      </c>
      <c r="H514" s="2">
        <v>0</v>
      </c>
      <c r="I514" s="2">
        <v>500</v>
      </c>
      <c r="J514" s="2">
        <v>500</v>
      </c>
      <c r="K514" s="3">
        <v>475</v>
      </c>
      <c r="L514" s="3">
        <v>25</v>
      </c>
      <c r="M514" s="3">
        <v>0</v>
      </c>
      <c r="N514" s="4" t="s">
        <v>109</v>
      </c>
      <c r="O514" s="3" t="str">
        <f t="shared" ref="O514:O577" si="23">IF(ISNUMBER(SEARCH("Box Office",A514)),"Offline - Box Office",
IF(ISNUMBER(SEARCH("Digital Platforms",A514)),"Online",
IF(ISNUMBER(SEARCH("Refuel",A514)),"Offline - F&amp;B",
IF(ISNUMBER(SEARCH("Food &amp; Beverages",A514)),"Offline - F&amp;B",
IF(ISNUMBER(SEARCH("F&amp;B",A514)),"Offline - F&amp;B",
IF(ISNUMBER(SEARCH("Kiosk",A514)),"Offline - Box Office",
IF(ISNUMBER(SEARCH("Cinema",A514)),"Offline - Box Office",
"Other")))))))</f>
        <v>Offline - Box Office</v>
      </c>
      <c r="P514" s="11">
        <v>6025000</v>
      </c>
      <c r="Q514" s="3">
        <v>3309100000</v>
      </c>
      <c r="R514" s="3">
        <v>2076200000</v>
      </c>
      <c r="S514" s="11">
        <v>8888000</v>
      </c>
    </row>
    <row r="515" spans="1:19" x14ac:dyDescent="0.35">
      <c r="A515" s="1" t="s">
        <v>77</v>
      </c>
      <c r="B515" s="1" t="str">
        <f t="shared" si="22"/>
        <v>J&amp;K Bank</v>
      </c>
      <c r="C515">
        <v>61</v>
      </c>
      <c r="D515">
        <v>0</v>
      </c>
      <c r="E515">
        <v>188</v>
      </c>
      <c r="F515" s="2">
        <v>74266.55</v>
      </c>
      <c r="G515" s="2">
        <v>65053.33</v>
      </c>
      <c r="H515" s="2">
        <v>0</v>
      </c>
      <c r="I515" s="2">
        <v>45916.55</v>
      </c>
      <c r="J515" s="2">
        <v>28198</v>
      </c>
      <c r="K515" s="3">
        <v>26788.1</v>
      </c>
      <c r="L515" s="3">
        <v>1409.9</v>
      </c>
      <c r="M515" s="3">
        <v>9061.2199999999993</v>
      </c>
      <c r="N515" s="4" t="s">
        <v>109</v>
      </c>
      <c r="O515" s="3" t="str">
        <f t="shared" si="23"/>
        <v>Online</v>
      </c>
      <c r="P515" s="11">
        <v>6025000</v>
      </c>
      <c r="Q515" s="3">
        <v>3309100000</v>
      </c>
      <c r="R515" s="3">
        <v>2076200000</v>
      </c>
      <c r="S515" s="11">
        <v>8888000</v>
      </c>
    </row>
    <row r="516" spans="1:19" x14ac:dyDescent="0.35">
      <c r="A516" s="1" t="s">
        <v>51</v>
      </c>
      <c r="B516" s="1" t="str">
        <f t="shared" si="22"/>
        <v>Kotak Mahindra Bank</v>
      </c>
      <c r="C516">
        <v>59</v>
      </c>
      <c r="D516">
        <v>0</v>
      </c>
      <c r="E516">
        <v>148</v>
      </c>
      <c r="F516" s="2">
        <v>102853.75999999999</v>
      </c>
      <c r="G516" s="2">
        <v>93164</v>
      </c>
      <c r="H516" s="2">
        <v>490</v>
      </c>
      <c r="I516" s="2">
        <v>82794.759999999995</v>
      </c>
      <c r="J516" s="2">
        <v>19953</v>
      </c>
      <c r="K516" s="3">
        <v>15962.4</v>
      </c>
      <c r="L516" s="3">
        <v>3990.6</v>
      </c>
      <c r="M516" s="3">
        <v>9093.76</v>
      </c>
      <c r="N516" s="4" t="s">
        <v>109</v>
      </c>
      <c r="O516" s="3" t="str">
        <f t="shared" si="23"/>
        <v>Online</v>
      </c>
      <c r="P516" s="11">
        <v>6025000</v>
      </c>
      <c r="Q516" s="3">
        <v>3309100000</v>
      </c>
      <c r="R516" s="3">
        <v>2076200000</v>
      </c>
      <c r="S516" s="11">
        <v>8888000</v>
      </c>
    </row>
    <row r="517" spans="1:19" x14ac:dyDescent="0.35">
      <c r="A517" s="1" t="s">
        <v>52</v>
      </c>
      <c r="B517" s="1" t="str">
        <f t="shared" si="22"/>
        <v>Kotak Mahindra Bank</v>
      </c>
      <c r="C517">
        <v>10</v>
      </c>
      <c r="D517">
        <v>10</v>
      </c>
      <c r="E517">
        <v>22</v>
      </c>
      <c r="F517" s="2">
        <v>19947.599999999999</v>
      </c>
      <c r="G517" s="2">
        <v>18360</v>
      </c>
      <c r="H517" s="2">
        <v>0</v>
      </c>
      <c r="I517" s="2">
        <v>12517.6</v>
      </c>
      <c r="J517" s="2">
        <v>7400</v>
      </c>
      <c r="K517" s="3">
        <v>7400</v>
      </c>
      <c r="L517" s="3">
        <v>0</v>
      </c>
      <c r="M517" s="3">
        <v>1557.6</v>
      </c>
      <c r="N517" s="4" t="s">
        <v>109</v>
      </c>
      <c r="O517" s="3" t="str">
        <f t="shared" si="23"/>
        <v>Online</v>
      </c>
      <c r="P517" s="11">
        <v>6025000</v>
      </c>
      <c r="Q517" s="3">
        <v>3309100000</v>
      </c>
      <c r="R517" s="3">
        <v>2076200000</v>
      </c>
      <c r="S517" s="11">
        <v>8888000</v>
      </c>
    </row>
    <row r="518" spans="1:19" x14ac:dyDescent="0.35">
      <c r="A518" s="1" t="s">
        <v>38</v>
      </c>
      <c r="B518" s="1" t="str">
        <f t="shared" si="22"/>
        <v>Kotak Mahindra Bank</v>
      </c>
      <c r="C518">
        <v>12158</v>
      </c>
      <c r="D518">
        <v>0</v>
      </c>
      <c r="E518">
        <v>29670</v>
      </c>
      <c r="F518" s="2">
        <v>7209195.0899999999</v>
      </c>
      <c r="G518" s="2">
        <v>247764.55</v>
      </c>
      <c r="H518" s="2">
        <v>6958385.0999999996</v>
      </c>
      <c r="I518" s="2">
        <v>5771813.0899999999</v>
      </c>
      <c r="J518" s="2">
        <v>1437298</v>
      </c>
      <c r="K518" s="3">
        <v>0</v>
      </c>
      <c r="L518" s="3">
        <v>1437298</v>
      </c>
      <c r="M518" s="3">
        <v>2961.44</v>
      </c>
      <c r="N518" s="4" t="s">
        <v>109</v>
      </c>
      <c r="O518" s="3" t="str">
        <f t="shared" si="23"/>
        <v>Other</v>
      </c>
      <c r="P518" s="11">
        <v>6025000</v>
      </c>
      <c r="Q518" s="3">
        <v>3309100000</v>
      </c>
      <c r="R518" s="3">
        <v>2076200000</v>
      </c>
      <c r="S518" s="11">
        <v>8888000</v>
      </c>
    </row>
    <row r="519" spans="1:19" x14ac:dyDescent="0.35">
      <c r="A519" s="1" t="s">
        <v>58</v>
      </c>
      <c r="B519" s="1" t="str">
        <f t="shared" si="22"/>
        <v>Kotak Mahindra Bank</v>
      </c>
      <c r="C519">
        <v>2908</v>
      </c>
      <c r="D519">
        <v>0</v>
      </c>
      <c r="E519">
        <v>6601</v>
      </c>
      <c r="F519" s="2">
        <v>1667132.59</v>
      </c>
      <c r="G519" s="2">
        <v>1601204.6</v>
      </c>
      <c r="H519" s="2">
        <v>1720</v>
      </c>
      <c r="I519" s="2">
        <v>1598972.84</v>
      </c>
      <c r="J519" s="2">
        <v>67211</v>
      </c>
      <c r="K519" s="3">
        <v>0</v>
      </c>
      <c r="L519" s="3">
        <v>67211</v>
      </c>
      <c r="M519" s="3">
        <v>63259.32</v>
      </c>
      <c r="N519" s="4" t="s">
        <v>109</v>
      </c>
      <c r="O519" s="3" t="str">
        <f t="shared" si="23"/>
        <v>Other</v>
      </c>
      <c r="P519" s="11">
        <v>6025000</v>
      </c>
      <c r="Q519" s="3">
        <v>3309100000</v>
      </c>
      <c r="R519" s="3">
        <v>2076200000</v>
      </c>
      <c r="S519" s="11">
        <v>8888000</v>
      </c>
    </row>
    <row r="520" spans="1:19" x14ac:dyDescent="0.35">
      <c r="A520" s="1" t="s">
        <v>40</v>
      </c>
      <c r="B520" s="1" t="str">
        <f t="shared" si="22"/>
        <v>Standard Chartered Bank</v>
      </c>
      <c r="C520">
        <v>9</v>
      </c>
      <c r="D520">
        <v>9</v>
      </c>
      <c r="E520">
        <v>20</v>
      </c>
      <c r="F520" s="2">
        <v>5461</v>
      </c>
      <c r="G520" s="2">
        <v>5461</v>
      </c>
      <c r="H520" s="2">
        <v>0</v>
      </c>
      <c r="I520" s="2">
        <v>3684</v>
      </c>
      <c r="J520" s="2">
        <v>1777</v>
      </c>
      <c r="K520" s="3">
        <v>1777</v>
      </c>
      <c r="L520" s="3">
        <v>0</v>
      </c>
      <c r="M520" s="3">
        <v>0</v>
      </c>
      <c r="N520" s="4" t="s">
        <v>109</v>
      </c>
      <c r="O520" s="3" t="str">
        <f t="shared" si="23"/>
        <v>Offline - Box Office</v>
      </c>
      <c r="P520" s="11">
        <v>6025000</v>
      </c>
      <c r="Q520" s="3">
        <v>3309100000</v>
      </c>
      <c r="R520" s="3">
        <v>2076200000</v>
      </c>
      <c r="S520" s="11">
        <v>8888000</v>
      </c>
    </row>
    <row r="521" spans="1:19" x14ac:dyDescent="0.35">
      <c r="A521" s="1" t="s">
        <v>41</v>
      </c>
      <c r="B521" s="1" t="str">
        <f t="shared" si="22"/>
        <v>Standard Chartered Bank</v>
      </c>
      <c r="C521">
        <v>49</v>
      </c>
      <c r="D521">
        <v>49</v>
      </c>
      <c r="E521">
        <v>113</v>
      </c>
      <c r="F521" s="2">
        <v>31415.46</v>
      </c>
      <c r="G521" s="2">
        <v>27277.3</v>
      </c>
      <c r="H521" s="2">
        <v>0</v>
      </c>
      <c r="I521" s="2">
        <v>21705.279999999999</v>
      </c>
      <c r="J521" s="2">
        <v>9598.18</v>
      </c>
      <c r="K521" s="3">
        <v>9598.18</v>
      </c>
      <c r="L521" s="3">
        <v>0</v>
      </c>
      <c r="M521" s="3">
        <v>4026.16</v>
      </c>
      <c r="N521" s="4" t="s">
        <v>109</v>
      </c>
      <c r="O521" s="3" t="str">
        <f t="shared" si="23"/>
        <v>Online</v>
      </c>
      <c r="P521" s="11">
        <v>6025000</v>
      </c>
      <c r="Q521" s="3">
        <v>3309100000</v>
      </c>
      <c r="R521" s="3">
        <v>2076200000</v>
      </c>
      <c r="S521" s="11">
        <v>8888000</v>
      </c>
    </row>
    <row r="522" spans="1:19" x14ac:dyDescent="0.35">
      <c r="A522" s="1" t="s">
        <v>106</v>
      </c>
      <c r="B522" s="1" t="str">
        <f t="shared" si="22"/>
        <v>Visa</v>
      </c>
      <c r="C522">
        <v>1372</v>
      </c>
      <c r="D522">
        <v>0</v>
      </c>
      <c r="E522">
        <v>11123</v>
      </c>
      <c r="F522" s="2">
        <v>3438402.67</v>
      </c>
      <c r="G522" s="2">
        <v>0</v>
      </c>
      <c r="H522" s="2">
        <v>3438402.67</v>
      </c>
      <c r="I522" s="2">
        <v>3164002.67</v>
      </c>
      <c r="J522" s="2">
        <v>274400</v>
      </c>
      <c r="K522" s="3">
        <v>274400</v>
      </c>
      <c r="L522" s="3">
        <v>0</v>
      </c>
      <c r="M522" s="3">
        <v>0</v>
      </c>
      <c r="N522" s="4" t="s">
        <v>109</v>
      </c>
      <c r="O522" s="3" t="str">
        <f t="shared" si="23"/>
        <v>Offline - F&amp;B</v>
      </c>
      <c r="P522" s="11">
        <v>6025000</v>
      </c>
      <c r="Q522" s="3">
        <v>3309100000</v>
      </c>
      <c r="R522" s="3">
        <v>2076200000</v>
      </c>
      <c r="S522" s="11">
        <v>8888000</v>
      </c>
    </row>
    <row r="523" spans="1:19" x14ac:dyDescent="0.35">
      <c r="A523" s="1" t="s">
        <v>107</v>
      </c>
      <c r="B523" s="1" t="str">
        <f t="shared" si="22"/>
        <v>Visa</v>
      </c>
      <c r="C523">
        <v>558</v>
      </c>
      <c r="D523">
        <v>0</v>
      </c>
      <c r="E523">
        <v>2240</v>
      </c>
      <c r="F523" s="2">
        <v>771689.1</v>
      </c>
      <c r="G523" s="2">
        <v>771689.1</v>
      </c>
      <c r="H523" s="2">
        <v>0</v>
      </c>
      <c r="I523" s="2">
        <v>771131.1</v>
      </c>
      <c r="J523" s="2">
        <v>558</v>
      </c>
      <c r="K523" s="3">
        <v>558</v>
      </c>
      <c r="L523" s="3">
        <v>0</v>
      </c>
      <c r="M523" s="3">
        <v>0</v>
      </c>
      <c r="N523" s="4" t="s">
        <v>109</v>
      </c>
      <c r="O523" s="3" t="str">
        <f t="shared" si="23"/>
        <v>Other</v>
      </c>
      <c r="P523" s="11">
        <v>6025000</v>
      </c>
      <c r="Q523" s="3">
        <v>3309100000</v>
      </c>
      <c r="R523" s="3">
        <v>2076200000</v>
      </c>
      <c r="S523" s="11">
        <v>8888000</v>
      </c>
    </row>
    <row r="524" spans="1:19" x14ac:dyDescent="0.35">
      <c r="A524" s="1" t="s">
        <v>108</v>
      </c>
      <c r="B524" s="1" t="str">
        <f t="shared" si="22"/>
        <v>Visa</v>
      </c>
      <c r="C524">
        <v>7345</v>
      </c>
      <c r="D524">
        <v>0</v>
      </c>
      <c r="E524">
        <v>17930</v>
      </c>
      <c r="F524" s="2">
        <v>4854026.75</v>
      </c>
      <c r="G524" s="2">
        <v>0</v>
      </c>
      <c r="H524" s="2">
        <v>4854026.75</v>
      </c>
      <c r="I524" s="2">
        <v>3894164.75</v>
      </c>
      <c r="J524" s="2">
        <v>959862</v>
      </c>
      <c r="K524" s="3">
        <v>959862</v>
      </c>
      <c r="L524" s="3">
        <v>0</v>
      </c>
      <c r="M524" s="3">
        <v>0</v>
      </c>
      <c r="N524" s="4" t="s">
        <v>109</v>
      </c>
      <c r="O524" s="3" t="str">
        <f t="shared" si="23"/>
        <v>Offline - F&amp;B</v>
      </c>
      <c r="P524" s="11">
        <v>6025000</v>
      </c>
      <c r="Q524" s="3">
        <v>3309100000</v>
      </c>
      <c r="R524" s="3">
        <v>2076200000</v>
      </c>
      <c r="S524" s="11">
        <v>8888000</v>
      </c>
    </row>
    <row r="525" spans="1:19" x14ac:dyDescent="0.35">
      <c r="A525" s="1" t="s">
        <v>91</v>
      </c>
      <c r="B525" s="1" t="str">
        <f t="shared" si="22"/>
        <v>American Express</v>
      </c>
      <c r="C525">
        <v>483</v>
      </c>
      <c r="D525">
        <v>483</v>
      </c>
      <c r="E525">
        <v>1301</v>
      </c>
      <c r="F525" s="2">
        <v>673399.65</v>
      </c>
      <c r="G525" s="2">
        <v>673399.65</v>
      </c>
      <c r="H525" s="2">
        <v>0</v>
      </c>
      <c r="I525" s="2">
        <v>489497.78</v>
      </c>
      <c r="J525" s="2">
        <v>183901.87</v>
      </c>
      <c r="K525" s="3">
        <v>91951.02</v>
      </c>
      <c r="L525" s="3">
        <v>91951.02</v>
      </c>
      <c r="M525" s="3">
        <v>0</v>
      </c>
      <c r="N525" s="4" t="s">
        <v>113</v>
      </c>
      <c r="O525" s="3" t="str">
        <f t="shared" si="23"/>
        <v>Offline - Box Office</v>
      </c>
      <c r="P525" s="11">
        <v>9021000</v>
      </c>
      <c r="Q525" s="3">
        <v>5374900000</v>
      </c>
      <c r="R525" s="3">
        <v>3403100000</v>
      </c>
      <c r="S525" s="11">
        <v>13300000</v>
      </c>
    </row>
    <row r="526" spans="1:19" x14ac:dyDescent="0.35">
      <c r="A526" s="1" t="s">
        <v>93</v>
      </c>
      <c r="B526" s="1" t="str">
        <f t="shared" si="22"/>
        <v>American Express</v>
      </c>
      <c r="C526">
        <v>2065</v>
      </c>
      <c r="D526">
        <v>2065</v>
      </c>
      <c r="E526">
        <v>5370</v>
      </c>
      <c r="F526" s="2">
        <v>3250003.01</v>
      </c>
      <c r="G526" s="2">
        <v>2910618.93</v>
      </c>
      <c r="H526" s="2">
        <v>38685</v>
      </c>
      <c r="I526" s="2">
        <v>2404331.13</v>
      </c>
      <c r="J526" s="2">
        <v>839369.88</v>
      </c>
      <c r="K526" s="3">
        <v>419685.36</v>
      </c>
      <c r="L526" s="3">
        <v>419685.36</v>
      </c>
      <c r="M526" s="3">
        <v>294397.08</v>
      </c>
      <c r="N526" s="4" t="s">
        <v>113</v>
      </c>
      <c r="O526" s="3" t="str">
        <f t="shared" si="23"/>
        <v>Online</v>
      </c>
      <c r="P526" s="11">
        <v>9021000</v>
      </c>
      <c r="Q526" s="3">
        <v>5374900000</v>
      </c>
      <c r="R526" s="3">
        <v>3403100000</v>
      </c>
      <c r="S526" s="11">
        <v>13300000</v>
      </c>
    </row>
    <row r="527" spans="1:19" x14ac:dyDescent="0.35">
      <c r="A527" s="1" t="s">
        <v>59</v>
      </c>
      <c r="B527" s="1" t="str">
        <f t="shared" si="22"/>
        <v>AU Bank</v>
      </c>
      <c r="C527">
        <v>505</v>
      </c>
      <c r="D527">
        <v>0</v>
      </c>
      <c r="E527">
        <v>1569</v>
      </c>
      <c r="F527" s="2">
        <v>476739.58</v>
      </c>
      <c r="G527" s="2">
        <v>476739.58</v>
      </c>
      <c r="H527" s="2">
        <v>0</v>
      </c>
      <c r="I527" s="2">
        <v>426239.58</v>
      </c>
      <c r="J527" s="2">
        <v>50500</v>
      </c>
      <c r="K527" s="3">
        <v>50500</v>
      </c>
      <c r="L527" s="3">
        <v>0</v>
      </c>
      <c r="M527" s="3">
        <v>0</v>
      </c>
      <c r="N527" s="4" t="s">
        <v>113</v>
      </c>
      <c r="O527" s="3" t="str">
        <f t="shared" si="23"/>
        <v>Offline - Box Office</v>
      </c>
      <c r="P527" s="11">
        <v>9021000</v>
      </c>
      <c r="Q527" s="3">
        <v>5374900000</v>
      </c>
      <c r="R527" s="3">
        <v>3403100000</v>
      </c>
      <c r="S527" s="11">
        <v>13300000</v>
      </c>
    </row>
    <row r="528" spans="1:19" x14ac:dyDescent="0.35">
      <c r="A528" s="1" t="s">
        <v>19</v>
      </c>
      <c r="B528" s="1" t="str">
        <f t="shared" si="22"/>
        <v>AU Bank</v>
      </c>
      <c r="C528">
        <v>479</v>
      </c>
      <c r="D528">
        <v>0</v>
      </c>
      <c r="E528">
        <v>1362</v>
      </c>
      <c r="F528" s="2">
        <v>496228.03</v>
      </c>
      <c r="G528" s="2">
        <v>428005.41</v>
      </c>
      <c r="H528" s="2">
        <v>10260</v>
      </c>
      <c r="I528" s="2">
        <v>447124.03</v>
      </c>
      <c r="J528" s="2">
        <v>47900</v>
      </c>
      <c r="K528" s="3">
        <v>47900</v>
      </c>
      <c r="L528" s="3">
        <v>0</v>
      </c>
      <c r="M528" s="3">
        <v>56758.62</v>
      </c>
      <c r="N528" s="4" t="s">
        <v>113</v>
      </c>
      <c r="O528" s="3" t="str">
        <f t="shared" si="23"/>
        <v>Online</v>
      </c>
      <c r="P528" s="11">
        <v>9021000</v>
      </c>
      <c r="Q528" s="3">
        <v>5374900000</v>
      </c>
      <c r="R528" s="3">
        <v>3403100000</v>
      </c>
      <c r="S528" s="11">
        <v>13300000</v>
      </c>
    </row>
    <row r="529" spans="1:19" x14ac:dyDescent="0.35">
      <c r="A529" s="1" t="s">
        <v>43</v>
      </c>
      <c r="B529" s="1" t="str">
        <f t="shared" si="22"/>
        <v>Axis Bank</v>
      </c>
      <c r="C529">
        <v>17</v>
      </c>
      <c r="D529">
        <v>17</v>
      </c>
      <c r="E529">
        <v>64</v>
      </c>
      <c r="F529" s="2">
        <v>17568.669999999998</v>
      </c>
      <c r="G529" s="2">
        <v>17568.669999999998</v>
      </c>
      <c r="H529" s="2">
        <v>0</v>
      </c>
      <c r="I529" s="2">
        <v>14259.08</v>
      </c>
      <c r="J529" s="2">
        <v>3309.59</v>
      </c>
      <c r="K529" s="3">
        <v>2912.44</v>
      </c>
      <c r="L529" s="3">
        <v>397.15</v>
      </c>
      <c r="M529" s="3">
        <v>0</v>
      </c>
      <c r="N529" s="4" t="s">
        <v>113</v>
      </c>
      <c r="O529" s="3" t="str">
        <f t="shared" si="23"/>
        <v>Offline - Box Office</v>
      </c>
      <c r="P529" s="11">
        <v>9021000</v>
      </c>
      <c r="Q529" s="3">
        <v>5374900000</v>
      </c>
      <c r="R529" s="3">
        <v>3403100000</v>
      </c>
      <c r="S529" s="11">
        <v>13300000</v>
      </c>
    </row>
    <row r="530" spans="1:19" x14ac:dyDescent="0.35">
      <c r="A530" s="1" t="s">
        <v>23</v>
      </c>
      <c r="B530" s="1" t="str">
        <f t="shared" si="22"/>
        <v>Axis Bank</v>
      </c>
      <c r="C530">
        <v>26</v>
      </c>
      <c r="D530">
        <v>26</v>
      </c>
      <c r="E530">
        <v>65</v>
      </c>
      <c r="F530" s="2">
        <v>17500.169999999998</v>
      </c>
      <c r="G530" s="2">
        <v>15178.93</v>
      </c>
      <c r="H530" s="2">
        <v>0</v>
      </c>
      <c r="I530" s="2">
        <v>12582.76</v>
      </c>
      <c r="J530" s="2">
        <v>4859.41</v>
      </c>
      <c r="K530" s="3">
        <v>4130.49</v>
      </c>
      <c r="L530" s="3">
        <v>728.92</v>
      </c>
      <c r="M530" s="3">
        <v>2263.2399999999998</v>
      </c>
      <c r="N530" s="4" t="s">
        <v>113</v>
      </c>
      <c r="O530" s="3" t="str">
        <f t="shared" si="23"/>
        <v>Online</v>
      </c>
      <c r="P530" s="11">
        <v>9021000</v>
      </c>
      <c r="Q530" s="3">
        <v>5374900000</v>
      </c>
      <c r="R530" s="3">
        <v>3403100000</v>
      </c>
      <c r="S530" s="11">
        <v>13300000</v>
      </c>
    </row>
    <row r="531" spans="1:19" x14ac:dyDescent="0.35">
      <c r="A531" s="1" t="s">
        <v>44</v>
      </c>
      <c r="B531" s="1" t="str">
        <f t="shared" si="22"/>
        <v>Axis Bank</v>
      </c>
      <c r="C531">
        <v>318</v>
      </c>
      <c r="D531">
        <v>318</v>
      </c>
      <c r="E531">
        <v>836</v>
      </c>
      <c r="F531" s="2">
        <v>201688</v>
      </c>
      <c r="G531" s="2">
        <v>201688</v>
      </c>
      <c r="H531" s="2">
        <v>0</v>
      </c>
      <c r="I531" s="2">
        <v>141633.38</v>
      </c>
      <c r="J531" s="2">
        <v>60054.62</v>
      </c>
      <c r="K531" s="3">
        <v>52848.09</v>
      </c>
      <c r="L531" s="3">
        <v>7206.53</v>
      </c>
      <c r="M531" s="3">
        <v>0</v>
      </c>
      <c r="N531" s="4" t="s">
        <v>113</v>
      </c>
      <c r="O531" s="3" t="str">
        <f t="shared" si="23"/>
        <v>Offline - Box Office</v>
      </c>
      <c r="P531" s="11">
        <v>9021000</v>
      </c>
      <c r="Q531" s="3">
        <v>5374900000</v>
      </c>
      <c r="R531" s="3">
        <v>3403100000</v>
      </c>
      <c r="S531" s="11">
        <v>13300000</v>
      </c>
    </row>
    <row r="532" spans="1:19" x14ac:dyDescent="0.35">
      <c r="A532" s="1" t="s">
        <v>24</v>
      </c>
      <c r="B532" s="1" t="str">
        <f t="shared" si="22"/>
        <v>Axis Bank</v>
      </c>
      <c r="C532">
        <v>991</v>
      </c>
      <c r="D532">
        <v>991</v>
      </c>
      <c r="E532">
        <v>2275</v>
      </c>
      <c r="F532" s="2">
        <v>630449.44999999995</v>
      </c>
      <c r="G532" s="2">
        <v>547602.94999999995</v>
      </c>
      <c r="H532" s="2">
        <v>3130</v>
      </c>
      <c r="I532" s="2">
        <v>439699.52</v>
      </c>
      <c r="J532" s="2">
        <v>188877.93</v>
      </c>
      <c r="K532" s="3">
        <v>160546</v>
      </c>
      <c r="L532" s="3">
        <v>28331.93</v>
      </c>
      <c r="M532" s="3">
        <v>77844.5</v>
      </c>
      <c r="N532" s="4" t="s">
        <v>113</v>
      </c>
      <c r="O532" s="3" t="str">
        <f t="shared" si="23"/>
        <v>Online</v>
      </c>
      <c r="P532" s="11">
        <v>9021000</v>
      </c>
      <c r="Q532" s="3">
        <v>5374900000</v>
      </c>
      <c r="R532" s="3">
        <v>3403100000</v>
      </c>
      <c r="S532" s="11">
        <v>13300000</v>
      </c>
    </row>
    <row r="533" spans="1:19" x14ac:dyDescent="0.35">
      <c r="A533" s="1" t="s">
        <v>54</v>
      </c>
      <c r="B533" s="1" t="str">
        <f t="shared" si="22"/>
        <v>BOB Card</v>
      </c>
      <c r="C533">
        <v>48</v>
      </c>
      <c r="D533">
        <v>0</v>
      </c>
      <c r="E533">
        <v>79</v>
      </c>
      <c r="F533" s="2">
        <v>48051.37</v>
      </c>
      <c r="G533" s="2">
        <v>38385.050000000003</v>
      </c>
      <c r="H533" s="2">
        <v>8650</v>
      </c>
      <c r="I533" s="2">
        <v>44185.37</v>
      </c>
      <c r="J533" s="2">
        <v>3822</v>
      </c>
      <c r="K533" s="3">
        <v>2675.4</v>
      </c>
      <c r="L533" s="3">
        <v>1146.5999999999999</v>
      </c>
      <c r="M533" s="3">
        <v>972.32</v>
      </c>
      <c r="N533" s="4" t="s">
        <v>113</v>
      </c>
      <c r="O533" s="3" t="str">
        <f t="shared" si="23"/>
        <v>Online</v>
      </c>
      <c r="P533" s="11">
        <v>9021000</v>
      </c>
      <c r="Q533" s="3">
        <v>5374900000</v>
      </c>
      <c r="R533" s="3">
        <v>3403100000</v>
      </c>
      <c r="S533" s="11">
        <v>13300000</v>
      </c>
    </row>
    <row r="534" spans="1:19" x14ac:dyDescent="0.35">
      <c r="A534" s="1" t="s">
        <v>55</v>
      </c>
      <c r="B534" s="1" t="str">
        <f t="shared" si="22"/>
        <v>BOB Card</v>
      </c>
      <c r="C534">
        <v>798</v>
      </c>
      <c r="D534">
        <v>0</v>
      </c>
      <c r="E534">
        <v>2554</v>
      </c>
      <c r="F534" s="2">
        <v>749388.24</v>
      </c>
      <c r="G534" s="2">
        <v>0</v>
      </c>
      <c r="H534" s="2">
        <v>749388.24</v>
      </c>
      <c r="I534" s="2">
        <v>675719.24</v>
      </c>
      <c r="J534" s="2">
        <v>73669</v>
      </c>
      <c r="K534" s="3">
        <v>51568.3</v>
      </c>
      <c r="L534" s="3">
        <v>22100.7</v>
      </c>
      <c r="M534" s="3">
        <v>0</v>
      </c>
      <c r="N534" s="4" t="s">
        <v>113</v>
      </c>
      <c r="O534" s="3" t="str">
        <f t="shared" si="23"/>
        <v>Offline - F&amp;B</v>
      </c>
      <c r="P534" s="11">
        <v>9021000</v>
      </c>
      <c r="Q534" s="3">
        <v>5374900000</v>
      </c>
      <c r="R534" s="3">
        <v>3403100000</v>
      </c>
      <c r="S534" s="11">
        <v>13300000</v>
      </c>
    </row>
    <row r="535" spans="1:19" x14ac:dyDescent="0.35">
      <c r="A535" s="1" t="s">
        <v>73</v>
      </c>
      <c r="B535" s="1" t="str">
        <f t="shared" ref="B535:B598" si="24">IF(ISNUMBER(SEARCH("AXIS",A535)),"Axis Bank",
IF(ISNUMBER(SEARCH("HDFC",A535)),"HDFC Bank",
IF(ISNUMBER(SEARCH("ICICI",A535)),"ICICI Bank",
IF(ISNUMBER(SEARCH("AU",A535)),"AU Bank",
IF(ISNUMBER(SEARCH("KOTAK",A535)),"Kotak Mahindra Bank",
IF(ISNUMBER(SEARCH("SBI",A535)),"State Bank of India",
IF(ISNUMBER(SEARCH("HSBC",A535)),"HSBC",
IF(ISNUMBER(SEARCH("DBS",A535)),"DBS Bank",
IF(ISNUMBER(SEARCH("SCAPIA",A535)),"Scapia",
IF(ISNUMBER(SEARCH("STANDARD CHARTERED",A535)),"Standard Chartered Bank",
IF(ISNUMBER(SEARCH("IDBI",A535)),"IDBI Bank",
IF(ISNUMBER(SEARCH("J&amp;K",A535)),"J&amp;K Bank",
IF(ISNUMBER(SEARCH("JAMMU",A535)),"J&amp;K Bank",
IF(ISNUMBER(SEARCH("FEDERAL",A535)),"Federal Bank",
IF(ISNUMBER(SEARCH("BOBCARD",A535)),"BOB Card",
IF(ISNUMBER(SEARCH("BANK OF BARODA",A535)),"BOB Card",
IF(ISNUMBER(SEARCH("AMEX",A535)),"American Express",
IF(ISNUMBER(SEARCH("PLATINUM",A535)),"American Express",
IF(ISNUMBER(SEARCH("CENTURION",A535)),"American Express",
IF(ISNUMBER(SEARCH("VISA",A535)),"Visa",
IF(ISNUMBER(SEARCH("MASTERCARD",A535)),"Mastercard",
"")))))))))))))))))))))</f>
        <v>Federal Bank</v>
      </c>
      <c r="C535">
        <v>1096</v>
      </c>
      <c r="D535">
        <v>1096</v>
      </c>
      <c r="E535">
        <v>3119</v>
      </c>
      <c r="F535" s="2">
        <v>752880.27</v>
      </c>
      <c r="G535" s="2">
        <v>752880.27</v>
      </c>
      <c r="H535" s="2">
        <v>0</v>
      </c>
      <c r="I535" s="2">
        <v>643613.85</v>
      </c>
      <c r="J535" s="2">
        <v>109266.42</v>
      </c>
      <c r="K535" s="3">
        <v>87413.119999999995</v>
      </c>
      <c r="L535" s="3">
        <v>21853.3</v>
      </c>
      <c r="M535" s="3">
        <v>0</v>
      </c>
      <c r="N535" s="4" t="s">
        <v>113</v>
      </c>
      <c r="O535" s="3" t="str">
        <f t="shared" si="23"/>
        <v>Offline - Box Office</v>
      </c>
      <c r="P535" s="11">
        <v>9021000</v>
      </c>
      <c r="Q535" s="3">
        <v>5374900000</v>
      </c>
      <c r="R535" s="3">
        <v>3403100000</v>
      </c>
      <c r="S535" s="11">
        <v>13300000</v>
      </c>
    </row>
    <row r="536" spans="1:19" x14ac:dyDescent="0.35">
      <c r="A536" s="1" t="s">
        <v>74</v>
      </c>
      <c r="B536" s="1" t="str">
        <f t="shared" si="24"/>
        <v>Federal Bank</v>
      </c>
      <c r="C536">
        <v>748</v>
      </c>
      <c r="D536">
        <v>748</v>
      </c>
      <c r="E536">
        <v>1890</v>
      </c>
      <c r="F536" s="2">
        <v>484409.59999999998</v>
      </c>
      <c r="G536" s="2">
        <v>414718.04</v>
      </c>
      <c r="H536" s="2">
        <v>4250</v>
      </c>
      <c r="I536" s="2">
        <v>409476.65</v>
      </c>
      <c r="J536" s="2">
        <v>73492.95</v>
      </c>
      <c r="K536" s="3">
        <v>58794.3</v>
      </c>
      <c r="L536" s="3">
        <v>14698.65</v>
      </c>
      <c r="M536" s="3">
        <v>64001.56</v>
      </c>
      <c r="N536" s="4" t="s">
        <v>113</v>
      </c>
      <c r="O536" s="3" t="str">
        <f t="shared" si="23"/>
        <v>Online</v>
      </c>
      <c r="P536" s="11">
        <v>9021000</v>
      </c>
      <c r="Q536" s="3">
        <v>5374900000</v>
      </c>
      <c r="R536" s="3">
        <v>3403100000</v>
      </c>
      <c r="S536" s="11">
        <v>13300000</v>
      </c>
    </row>
    <row r="537" spans="1:19" x14ac:dyDescent="0.35">
      <c r="A537" s="1" t="s">
        <v>27</v>
      </c>
      <c r="B537" s="1" t="str">
        <f t="shared" si="24"/>
        <v>Federal Bank</v>
      </c>
      <c r="C537">
        <v>79</v>
      </c>
      <c r="D537">
        <v>79</v>
      </c>
      <c r="E537">
        <v>229</v>
      </c>
      <c r="F537" s="2">
        <v>69351.25</v>
      </c>
      <c r="G537" s="2">
        <v>69351.25</v>
      </c>
      <c r="H537" s="2">
        <v>0</v>
      </c>
      <c r="I537" s="2">
        <v>61485.39</v>
      </c>
      <c r="J537" s="2">
        <v>7865.86</v>
      </c>
      <c r="K537" s="3">
        <v>7865.86</v>
      </c>
      <c r="L537" s="3">
        <v>0</v>
      </c>
      <c r="M537" s="3">
        <v>0</v>
      </c>
      <c r="N537" s="4" t="s">
        <v>113</v>
      </c>
      <c r="O537" s="3" t="str">
        <f t="shared" si="23"/>
        <v>Offline - Box Office</v>
      </c>
      <c r="P537" s="11">
        <v>9021000</v>
      </c>
      <c r="Q537" s="3">
        <v>5374900000</v>
      </c>
      <c r="R537" s="3">
        <v>3403100000</v>
      </c>
      <c r="S537" s="11">
        <v>13300000</v>
      </c>
    </row>
    <row r="538" spans="1:19" x14ac:dyDescent="0.35">
      <c r="A538" s="1" t="s">
        <v>28</v>
      </c>
      <c r="B538" s="1" t="str">
        <f t="shared" si="24"/>
        <v>Federal Bank</v>
      </c>
      <c r="C538">
        <v>92</v>
      </c>
      <c r="D538">
        <v>92</v>
      </c>
      <c r="E538">
        <v>244</v>
      </c>
      <c r="F538" s="2">
        <v>77938.5</v>
      </c>
      <c r="G538" s="2">
        <v>68062.28</v>
      </c>
      <c r="H538" s="2">
        <v>370</v>
      </c>
      <c r="I538" s="2">
        <v>68517.5</v>
      </c>
      <c r="J538" s="2">
        <v>9199</v>
      </c>
      <c r="K538" s="3">
        <v>9199</v>
      </c>
      <c r="L538" s="3">
        <v>0</v>
      </c>
      <c r="M538" s="3">
        <v>9284.2199999999993</v>
      </c>
      <c r="N538" s="4" t="s">
        <v>113</v>
      </c>
      <c r="O538" s="3" t="str">
        <f t="shared" si="23"/>
        <v>Online</v>
      </c>
      <c r="P538" s="11">
        <v>9021000</v>
      </c>
      <c r="Q538" s="3">
        <v>5374900000</v>
      </c>
      <c r="R538" s="3">
        <v>3403100000</v>
      </c>
      <c r="S538" s="11">
        <v>13300000</v>
      </c>
    </row>
    <row r="539" spans="1:19" x14ac:dyDescent="0.35">
      <c r="A539" s="1" t="s">
        <v>29</v>
      </c>
      <c r="B539" s="1" t="str">
        <f t="shared" si="24"/>
        <v>Federal Bank</v>
      </c>
      <c r="C539">
        <v>333</v>
      </c>
      <c r="D539">
        <v>333</v>
      </c>
      <c r="E539">
        <v>950</v>
      </c>
      <c r="F539" s="2">
        <v>229108.61</v>
      </c>
      <c r="G539" s="2">
        <v>229108.61</v>
      </c>
      <c r="H539" s="2">
        <v>0</v>
      </c>
      <c r="I539" s="2">
        <v>195931.79</v>
      </c>
      <c r="J539" s="2">
        <v>33176.82</v>
      </c>
      <c r="K539" s="3">
        <v>33176.82</v>
      </c>
      <c r="L539" s="3">
        <v>0</v>
      </c>
      <c r="M539" s="3">
        <v>0</v>
      </c>
      <c r="N539" s="4" t="s">
        <v>113</v>
      </c>
      <c r="O539" s="3" t="str">
        <f t="shared" si="23"/>
        <v>Offline - Box Office</v>
      </c>
      <c r="P539" s="11">
        <v>9021000</v>
      </c>
      <c r="Q539" s="3">
        <v>5374900000</v>
      </c>
      <c r="R539" s="3">
        <v>3403100000</v>
      </c>
      <c r="S539" s="11">
        <v>13300000</v>
      </c>
    </row>
    <row r="540" spans="1:19" x14ac:dyDescent="0.35">
      <c r="A540" s="1" t="s">
        <v>30</v>
      </c>
      <c r="B540" s="1" t="str">
        <f t="shared" si="24"/>
        <v>Federal Bank</v>
      </c>
      <c r="C540">
        <v>241</v>
      </c>
      <c r="D540">
        <v>241</v>
      </c>
      <c r="E540">
        <v>611</v>
      </c>
      <c r="F540" s="2">
        <v>154791.17000000001</v>
      </c>
      <c r="G540" s="2">
        <v>131062.89</v>
      </c>
      <c r="H540" s="2">
        <v>2640</v>
      </c>
      <c r="I540" s="2">
        <v>130297.49</v>
      </c>
      <c r="J540" s="2">
        <v>23919.68</v>
      </c>
      <c r="K540" s="3">
        <v>23919.68</v>
      </c>
      <c r="L540" s="3">
        <v>0</v>
      </c>
      <c r="M540" s="3">
        <v>20514.28</v>
      </c>
      <c r="N540" s="4" t="s">
        <v>113</v>
      </c>
      <c r="O540" s="3" t="str">
        <f t="shared" si="23"/>
        <v>Online</v>
      </c>
      <c r="P540" s="11">
        <v>9021000</v>
      </c>
      <c r="Q540" s="3">
        <v>5374900000</v>
      </c>
      <c r="R540" s="3">
        <v>3403100000</v>
      </c>
      <c r="S540" s="11">
        <v>13300000</v>
      </c>
    </row>
    <row r="541" spans="1:19" x14ac:dyDescent="0.35">
      <c r="A541" s="1" t="s">
        <v>32</v>
      </c>
      <c r="B541" s="1" t="str">
        <f t="shared" si="24"/>
        <v>ICICI Bank</v>
      </c>
      <c r="C541">
        <v>4866</v>
      </c>
      <c r="D541">
        <v>0</v>
      </c>
      <c r="E541">
        <v>13929</v>
      </c>
      <c r="F541" s="2">
        <v>3406905.92</v>
      </c>
      <c r="G541" s="2">
        <v>3406706.92</v>
      </c>
      <c r="H541" s="2">
        <v>199</v>
      </c>
      <c r="I541" s="2">
        <v>2909231.92</v>
      </c>
      <c r="J541" s="2">
        <v>497674</v>
      </c>
      <c r="K541" s="3">
        <v>437953.12</v>
      </c>
      <c r="L541" s="3">
        <v>59720.88</v>
      </c>
      <c r="M541" s="3">
        <v>0</v>
      </c>
      <c r="N541" s="4" t="s">
        <v>113</v>
      </c>
      <c r="O541" s="3" t="str">
        <f t="shared" si="23"/>
        <v>Offline - Box Office</v>
      </c>
      <c r="P541" s="11">
        <v>9021000</v>
      </c>
      <c r="Q541" s="3">
        <v>5374900000</v>
      </c>
      <c r="R541" s="3">
        <v>3403100000</v>
      </c>
      <c r="S541" s="11">
        <v>13300000</v>
      </c>
    </row>
    <row r="542" spans="1:19" x14ac:dyDescent="0.35">
      <c r="A542" s="1" t="s">
        <v>33</v>
      </c>
      <c r="B542" s="1" t="str">
        <f t="shared" si="24"/>
        <v>ICICI Bank</v>
      </c>
      <c r="C542">
        <v>1520</v>
      </c>
      <c r="D542">
        <v>0</v>
      </c>
      <c r="E542">
        <v>4277</v>
      </c>
      <c r="F542" s="2">
        <v>1253122.77</v>
      </c>
      <c r="G542" s="2">
        <v>1084177.49</v>
      </c>
      <c r="H542" s="2">
        <v>13870</v>
      </c>
      <c r="I542" s="2">
        <v>1087928.77</v>
      </c>
      <c r="J542" s="2">
        <v>161772</v>
      </c>
      <c r="K542" s="3">
        <v>137506.20000000001</v>
      </c>
      <c r="L542" s="3">
        <v>24265.8</v>
      </c>
      <c r="M542" s="3">
        <v>151653.28</v>
      </c>
      <c r="N542" s="4" t="s">
        <v>113</v>
      </c>
      <c r="O542" s="3" t="str">
        <f t="shared" si="23"/>
        <v>Online</v>
      </c>
      <c r="P542" s="11">
        <v>9021000</v>
      </c>
      <c r="Q542" s="3">
        <v>5374900000</v>
      </c>
      <c r="R542" s="3">
        <v>3403100000</v>
      </c>
      <c r="S542" s="11">
        <v>13300000</v>
      </c>
    </row>
    <row r="543" spans="1:19" x14ac:dyDescent="0.35">
      <c r="A543" s="1" t="s">
        <v>34</v>
      </c>
      <c r="B543" s="1" t="str">
        <f t="shared" si="24"/>
        <v>ICICI Bank</v>
      </c>
      <c r="C543">
        <v>555</v>
      </c>
      <c r="D543">
        <v>0</v>
      </c>
      <c r="E543">
        <v>1518</v>
      </c>
      <c r="F543" s="2">
        <v>402306.04</v>
      </c>
      <c r="G543" s="2">
        <v>402306.04</v>
      </c>
      <c r="H543" s="2">
        <v>0</v>
      </c>
      <c r="I543" s="2">
        <v>372712.04</v>
      </c>
      <c r="J543" s="2">
        <v>29594</v>
      </c>
      <c r="K543" s="3">
        <v>26042.720000000001</v>
      </c>
      <c r="L543" s="3">
        <v>3551.28</v>
      </c>
      <c r="M543" s="3">
        <v>0</v>
      </c>
      <c r="N543" s="4" t="s">
        <v>113</v>
      </c>
      <c r="O543" s="3" t="str">
        <f t="shared" si="23"/>
        <v>Offline - Box Office</v>
      </c>
      <c r="P543" s="11">
        <v>9021000</v>
      </c>
      <c r="Q543" s="3">
        <v>5374900000</v>
      </c>
      <c r="R543" s="3">
        <v>3403100000</v>
      </c>
      <c r="S543" s="11">
        <v>13300000</v>
      </c>
    </row>
    <row r="544" spans="1:19" x14ac:dyDescent="0.35">
      <c r="A544" s="1" t="s">
        <v>35</v>
      </c>
      <c r="B544" s="1" t="str">
        <f t="shared" si="24"/>
        <v>ICICI Bank</v>
      </c>
      <c r="C544">
        <v>151</v>
      </c>
      <c r="D544">
        <v>0</v>
      </c>
      <c r="E544">
        <v>410</v>
      </c>
      <c r="F544" s="2">
        <v>123922.46</v>
      </c>
      <c r="G544" s="2">
        <v>108250.56</v>
      </c>
      <c r="H544" s="2">
        <v>650</v>
      </c>
      <c r="I544" s="2">
        <v>114751.46</v>
      </c>
      <c r="J544" s="2">
        <v>8801</v>
      </c>
      <c r="K544" s="3">
        <v>7480.85</v>
      </c>
      <c r="L544" s="3">
        <v>1320.15</v>
      </c>
      <c r="M544" s="3">
        <v>14651.9</v>
      </c>
      <c r="N544" s="4" t="s">
        <v>113</v>
      </c>
      <c r="O544" s="3" t="str">
        <f t="shared" si="23"/>
        <v>Online</v>
      </c>
      <c r="P544" s="11">
        <v>9021000</v>
      </c>
      <c r="Q544" s="3">
        <v>5374900000</v>
      </c>
      <c r="R544" s="3">
        <v>3403100000</v>
      </c>
      <c r="S544" s="11">
        <v>13300000</v>
      </c>
    </row>
    <row r="545" spans="1:19" x14ac:dyDescent="0.35">
      <c r="A545" s="1" t="s">
        <v>110</v>
      </c>
      <c r="B545" s="1" t="str">
        <f t="shared" si="24"/>
        <v>IDBI Bank</v>
      </c>
      <c r="C545">
        <v>172</v>
      </c>
      <c r="D545">
        <v>0</v>
      </c>
      <c r="E545">
        <v>723</v>
      </c>
      <c r="F545" s="2">
        <v>222670.04</v>
      </c>
      <c r="G545" s="2">
        <v>222670.04</v>
      </c>
      <c r="H545" s="2">
        <v>0</v>
      </c>
      <c r="I545" s="2">
        <v>198039.04000000001</v>
      </c>
      <c r="J545" s="2">
        <v>24631</v>
      </c>
      <c r="K545" s="3">
        <v>23399.45</v>
      </c>
      <c r="L545" s="3">
        <v>1231.55</v>
      </c>
      <c r="M545" s="3">
        <v>0</v>
      </c>
      <c r="N545" s="4" t="s">
        <v>113</v>
      </c>
      <c r="O545" s="3" t="str">
        <f t="shared" si="23"/>
        <v>Offline - Box Office</v>
      </c>
      <c r="P545" s="11">
        <v>9021000</v>
      </c>
      <c r="Q545" s="3">
        <v>5374900000</v>
      </c>
      <c r="R545" s="3">
        <v>3403100000</v>
      </c>
      <c r="S545" s="11">
        <v>13300000</v>
      </c>
    </row>
    <row r="546" spans="1:19" x14ac:dyDescent="0.35">
      <c r="A546" s="1" t="s">
        <v>111</v>
      </c>
      <c r="B546" s="1" t="str">
        <f t="shared" si="24"/>
        <v>IDBI Bank</v>
      </c>
      <c r="C546">
        <v>120</v>
      </c>
      <c r="D546">
        <v>0</v>
      </c>
      <c r="E546">
        <v>445</v>
      </c>
      <c r="F546" s="2">
        <v>177228.69</v>
      </c>
      <c r="G546" s="2">
        <v>151886.60999999999</v>
      </c>
      <c r="H546" s="2">
        <v>5650</v>
      </c>
      <c r="I546" s="2">
        <v>159510.69</v>
      </c>
      <c r="J546" s="2">
        <v>17410</v>
      </c>
      <c r="K546" s="3">
        <v>17410</v>
      </c>
      <c r="L546" s="3">
        <v>0</v>
      </c>
      <c r="M546" s="3">
        <v>19384.080000000002</v>
      </c>
      <c r="N546" s="4" t="s">
        <v>113</v>
      </c>
      <c r="O546" s="3" t="str">
        <f t="shared" si="23"/>
        <v>Online</v>
      </c>
      <c r="P546" s="11">
        <v>9021000</v>
      </c>
      <c r="Q546" s="3">
        <v>5374900000</v>
      </c>
      <c r="R546" s="3">
        <v>3403100000</v>
      </c>
      <c r="S546" s="11">
        <v>13300000</v>
      </c>
    </row>
    <row r="547" spans="1:19" x14ac:dyDescent="0.35">
      <c r="A547" s="1" t="s">
        <v>112</v>
      </c>
      <c r="B547" s="1" t="str">
        <f t="shared" si="24"/>
        <v>IDBI Bank</v>
      </c>
      <c r="C547">
        <v>284</v>
      </c>
      <c r="D547">
        <v>0</v>
      </c>
      <c r="E547">
        <v>1344</v>
      </c>
      <c r="F547" s="2">
        <v>393362.89</v>
      </c>
      <c r="G547" s="2">
        <v>0</v>
      </c>
      <c r="H547" s="2">
        <v>393362.89</v>
      </c>
      <c r="I547" s="2">
        <v>352108.89</v>
      </c>
      <c r="J547" s="2">
        <v>41254</v>
      </c>
      <c r="K547" s="3">
        <v>28877.8</v>
      </c>
      <c r="L547" s="3">
        <v>12376.2</v>
      </c>
      <c r="M547" s="3">
        <v>0</v>
      </c>
      <c r="N547" s="4" t="s">
        <v>113</v>
      </c>
      <c r="O547" s="3" t="str">
        <f t="shared" si="23"/>
        <v>Offline - F&amp;B</v>
      </c>
      <c r="P547" s="11">
        <v>9021000</v>
      </c>
      <c r="Q547" s="3">
        <v>5374900000</v>
      </c>
      <c r="R547" s="3">
        <v>3403100000</v>
      </c>
      <c r="S547" s="11">
        <v>13300000</v>
      </c>
    </row>
    <row r="548" spans="1:19" x14ac:dyDescent="0.35">
      <c r="A548" s="1" t="s">
        <v>87</v>
      </c>
      <c r="B548" s="1" t="str">
        <f t="shared" si="24"/>
        <v>J&amp;K Bank</v>
      </c>
      <c r="C548">
        <v>3</v>
      </c>
      <c r="D548">
        <v>0</v>
      </c>
      <c r="E548">
        <v>8</v>
      </c>
      <c r="F548" s="2">
        <v>3689.44</v>
      </c>
      <c r="G548" s="2">
        <v>3200</v>
      </c>
      <c r="H548" s="2">
        <v>0</v>
      </c>
      <c r="I548" s="2">
        <v>2381.44</v>
      </c>
      <c r="J548" s="2">
        <v>1300</v>
      </c>
      <c r="K548" s="3">
        <v>1300</v>
      </c>
      <c r="L548" s="3">
        <v>0</v>
      </c>
      <c r="M548" s="3">
        <v>481.44</v>
      </c>
      <c r="N548" s="4" t="s">
        <v>113</v>
      </c>
      <c r="O548" s="3" t="str">
        <f t="shared" si="23"/>
        <v>Online</v>
      </c>
      <c r="P548" s="11">
        <v>9021000</v>
      </c>
      <c r="Q548" s="3">
        <v>5374900000</v>
      </c>
      <c r="R548" s="3">
        <v>3403100000</v>
      </c>
      <c r="S548" s="11">
        <v>13300000</v>
      </c>
    </row>
    <row r="549" spans="1:19" x14ac:dyDescent="0.35">
      <c r="A549" s="1" t="s">
        <v>75</v>
      </c>
      <c r="B549" s="1" t="str">
        <f t="shared" si="24"/>
        <v>J&amp;K Bank</v>
      </c>
      <c r="C549">
        <v>12</v>
      </c>
      <c r="D549">
        <v>0</v>
      </c>
      <c r="E549">
        <v>29</v>
      </c>
      <c r="F549" s="2">
        <v>19677</v>
      </c>
      <c r="G549" s="2">
        <v>17810</v>
      </c>
      <c r="H549" s="2">
        <v>0</v>
      </c>
      <c r="I549" s="2">
        <v>14034</v>
      </c>
      <c r="J549" s="2">
        <v>5605</v>
      </c>
      <c r="K549" s="3">
        <v>5324.75</v>
      </c>
      <c r="L549" s="3">
        <v>280.25</v>
      </c>
      <c r="M549" s="3">
        <v>1829</v>
      </c>
      <c r="N549" s="4" t="s">
        <v>113</v>
      </c>
      <c r="O549" s="3" t="str">
        <f t="shared" si="23"/>
        <v>Online</v>
      </c>
      <c r="P549" s="11">
        <v>9021000</v>
      </c>
      <c r="Q549" s="3">
        <v>5374900000</v>
      </c>
      <c r="R549" s="3">
        <v>3403100000</v>
      </c>
      <c r="S549" s="11">
        <v>13300000</v>
      </c>
    </row>
    <row r="550" spans="1:19" x14ac:dyDescent="0.35">
      <c r="A550" s="1" t="s">
        <v>98</v>
      </c>
      <c r="B550" s="1" t="str">
        <f t="shared" si="24"/>
        <v>J&amp;K Bank</v>
      </c>
      <c r="C550">
        <v>5</v>
      </c>
      <c r="D550">
        <v>0</v>
      </c>
      <c r="E550">
        <v>14</v>
      </c>
      <c r="F550" s="2">
        <v>6159.06</v>
      </c>
      <c r="G550" s="2">
        <v>5350</v>
      </c>
      <c r="H550" s="2">
        <v>0</v>
      </c>
      <c r="I550" s="2">
        <v>3862.06</v>
      </c>
      <c r="J550" s="2">
        <v>2275</v>
      </c>
      <c r="K550" s="3">
        <v>2275</v>
      </c>
      <c r="L550" s="3">
        <v>0</v>
      </c>
      <c r="M550" s="3">
        <v>787.06</v>
      </c>
      <c r="N550" s="4" t="s">
        <v>113</v>
      </c>
      <c r="O550" s="3" t="str">
        <f t="shared" si="23"/>
        <v>Other</v>
      </c>
      <c r="P550" s="11">
        <v>9021000</v>
      </c>
      <c r="Q550" s="3">
        <v>5374900000</v>
      </c>
      <c r="R550" s="3">
        <v>3403100000</v>
      </c>
      <c r="S550" s="11">
        <v>13300000</v>
      </c>
    </row>
    <row r="551" spans="1:19" x14ac:dyDescent="0.35">
      <c r="A551" s="1" t="s">
        <v>88</v>
      </c>
      <c r="B551" s="1" t="str">
        <f t="shared" si="24"/>
        <v>J&amp;K Bank</v>
      </c>
      <c r="C551">
        <v>1</v>
      </c>
      <c r="D551">
        <v>0</v>
      </c>
      <c r="E551">
        <v>5</v>
      </c>
      <c r="F551" s="2">
        <v>1450</v>
      </c>
      <c r="G551" s="2">
        <v>1450</v>
      </c>
      <c r="H551" s="2">
        <v>0</v>
      </c>
      <c r="I551" s="2">
        <v>950</v>
      </c>
      <c r="J551" s="2">
        <v>500</v>
      </c>
      <c r="K551" s="3">
        <v>475</v>
      </c>
      <c r="L551" s="3">
        <v>25</v>
      </c>
      <c r="M551" s="3">
        <v>0</v>
      </c>
      <c r="N551" s="4" t="s">
        <v>113</v>
      </c>
      <c r="O551" s="3" t="str">
        <f t="shared" si="23"/>
        <v>Offline - Box Office</v>
      </c>
      <c r="P551" s="11">
        <v>9021000</v>
      </c>
      <c r="Q551" s="3">
        <v>5374900000</v>
      </c>
      <c r="R551" s="3">
        <v>3403100000</v>
      </c>
      <c r="S551" s="11">
        <v>13300000</v>
      </c>
    </row>
    <row r="552" spans="1:19" x14ac:dyDescent="0.35">
      <c r="A552" s="1" t="s">
        <v>77</v>
      </c>
      <c r="B552" s="1" t="str">
        <f t="shared" si="24"/>
        <v>J&amp;K Bank</v>
      </c>
      <c r="C552">
        <v>84</v>
      </c>
      <c r="D552">
        <v>0</v>
      </c>
      <c r="E552">
        <v>256</v>
      </c>
      <c r="F552" s="2">
        <v>103149.98</v>
      </c>
      <c r="G552" s="2">
        <v>90663.78</v>
      </c>
      <c r="H552" s="2">
        <v>0</v>
      </c>
      <c r="I552" s="2">
        <v>63674.98</v>
      </c>
      <c r="J552" s="2">
        <v>39207</v>
      </c>
      <c r="K552" s="3">
        <v>37246.65</v>
      </c>
      <c r="L552" s="3">
        <v>1960.35</v>
      </c>
      <c r="M552" s="3">
        <v>12218.2</v>
      </c>
      <c r="N552" s="4" t="s">
        <v>113</v>
      </c>
      <c r="O552" s="3" t="str">
        <f t="shared" si="23"/>
        <v>Online</v>
      </c>
      <c r="P552" s="11">
        <v>9021000</v>
      </c>
      <c r="Q552" s="3">
        <v>5374900000</v>
      </c>
      <c r="R552" s="3">
        <v>3403100000</v>
      </c>
      <c r="S552" s="11">
        <v>13300000</v>
      </c>
    </row>
    <row r="553" spans="1:19" x14ac:dyDescent="0.35">
      <c r="A553" s="1" t="s">
        <v>51</v>
      </c>
      <c r="B553" s="1" t="str">
        <f t="shared" si="24"/>
        <v>Kotak Mahindra Bank</v>
      </c>
      <c r="C553">
        <v>96</v>
      </c>
      <c r="D553">
        <v>0</v>
      </c>
      <c r="E553">
        <v>226</v>
      </c>
      <c r="F553" s="2">
        <v>163785.01999999999</v>
      </c>
      <c r="G553" s="2">
        <v>148668</v>
      </c>
      <c r="H553" s="2">
        <v>407</v>
      </c>
      <c r="I553" s="2">
        <v>131321.01999999999</v>
      </c>
      <c r="J553" s="2">
        <v>32246</v>
      </c>
      <c r="K553" s="3">
        <v>25796.799999999999</v>
      </c>
      <c r="L553" s="3">
        <v>6449.2</v>
      </c>
      <c r="M553" s="3">
        <v>14492.02</v>
      </c>
      <c r="N553" s="4" t="s">
        <v>113</v>
      </c>
      <c r="O553" s="3" t="str">
        <f t="shared" si="23"/>
        <v>Online</v>
      </c>
      <c r="P553" s="11">
        <v>9021000</v>
      </c>
      <c r="Q553" s="3">
        <v>5374900000</v>
      </c>
      <c r="R553" s="3">
        <v>3403100000</v>
      </c>
      <c r="S553" s="11">
        <v>13300000</v>
      </c>
    </row>
    <row r="554" spans="1:19" x14ac:dyDescent="0.35">
      <c r="A554" s="1" t="s">
        <v>52</v>
      </c>
      <c r="B554" s="1" t="str">
        <f t="shared" si="24"/>
        <v>Kotak Mahindra Bank</v>
      </c>
      <c r="C554">
        <v>26</v>
      </c>
      <c r="D554">
        <v>26</v>
      </c>
      <c r="E554">
        <v>64</v>
      </c>
      <c r="F554" s="2">
        <v>66034.539999999994</v>
      </c>
      <c r="G554" s="2">
        <v>61400</v>
      </c>
      <c r="H554" s="2">
        <v>0</v>
      </c>
      <c r="I554" s="2">
        <v>46116.54</v>
      </c>
      <c r="J554" s="2">
        <v>19830</v>
      </c>
      <c r="K554" s="3">
        <v>19830</v>
      </c>
      <c r="L554" s="3">
        <v>0</v>
      </c>
      <c r="M554" s="3">
        <v>4546.54</v>
      </c>
      <c r="N554" s="4" t="s">
        <v>113</v>
      </c>
      <c r="O554" s="3" t="str">
        <f t="shared" si="23"/>
        <v>Online</v>
      </c>
      <c r="P554" s="11">
        <v>9021000</v>
      </c>
      <c r="Q554" s="3">
        <v>5374900000</v>
      </c>
      <c r="R554" s="3">
        <v>3403100000</v>
      </c>
      <c r="S554" s="11">
        <v>13300000</v>
      </c>
    </row>
    <row r="555" spans="1:19" x14ac:dyDescent="0.35">
      <c r="A555" s="1" t="s">
        <v>38</v>
      </c>
      <c r="B555" s="1" t="str">
        <f t="shared" si="24"/>
        <v>Kotak Mahindra Bank</v>
      </c>
      <c r="C555">
        <v>18697</v>
      </c>
      <c r="D555">
        <v>0</v>
      </c>
      <c r="E555">
        <v>45959</v>
      </c>
      <c r="F555" s="2">
        <v>11779943.52</v>
      </c>
      <c r="G555" s="2">
        <v>439965.7</v>
      </c>
      <c r="H555" s="2">
        <v>11337180.439999999</v>
      </c>
      <c r="I555" s="2">
        <v>9427743.5199999996</v>
      </c>
      <c r="J555" s="2">
        <v>2352110</v>
      </c>
      <c r="K555" s="3">
        <v>0</v>
      </c>
      <c r="L555" s="3">
        <v>2352110</v>
      </c>
      <c r="M555" s="3">
        <v>2707.38</v>
      </c>
      <c r="N555" s="4" t="s">
        <v>113</v>
      </c>
      <c r="O555" s="3" t="str">
        <f t="shared" si="23"/>
        <v>Other</v>
      </c>
      <c r="P555" s="11">
        <v>9021000</v>
      </c>
      <c r="Q555" s="3">
        <v>5374900000</v>
      </c>
      <c r="R555" s="3">
        <v>3403100000</v>
      </c>
      <c r="S555" s="11">
        <v>13300000</v>
      </c>
    </row>
    <row r="556" spans="1:19" x14ac:dyDescent="0.35">
      <c r="A556" s="1" t="s">
        <v>58</v>
      </c>
      <c r="B556" s="1" t="str">
        <f t="shared" si="24"/>
        <v>Kotak Mahindra Bank</v>
      </c>
      <c r="C556">
        <v>4625</v>
      </c>
      <c r="D556">
        <v>0</v>
      </c>
      <c r="E556">
        <v>11066</v>
      </c>
      <c r="F556" s="2">
        <v>3053653.75</v>
      </c>
      <c r="G556" s="2">
        <v>2924395.29</v>
      </c>
      <c r="H556" s="2">
        <v>2810</v>
      </c>
      <c r="I556" s="2">
        <v>2936785.85</v>
      </c>
      <c r="J556" s="2">
        <v>114832</v>
      </c>
      <c r="K556" s="3">
        <v>0</v>
      </c>
      <c r="L556" s="3">
        <v>114832</v>
      </c>
      <c r="M556" s="3">
        <v>124513.14</v>
      </c>
      <c r="N556" s="4" t="s">
        <v>113</v>
      </c>
      <c r="O556" s="3" t="str">
        <f t="shared" si="23"/>
        <v>Other</v>
      </c>
      <c r="P556" s="11">
        <v>9021000</v>
      </c>
      <c r="Q556" s="3">
        <v>5374900000</v>
      </c>
      <c r="R556" s="3">
        <v>3403100000</v>
      </c>
      <c r="S556" s="11">
        <v>13300000</v>
      </c>
    </row>
    <row r="557" spans="1:19" x14ac:dyDescent="0.35">
      <c r="A557" s="1" t="s">
        <v>114</v>
      </c>
      <c r="B557" s="1" t="str">
        <f t="shared" si="24"/>
        <v>State Bank of India</v>
      </c>
      <c r="C557">
        <v>866</v>
      </c>
      <c r="D557">
        <v>0</v>
      </c>
      <c r="E557">
        <v>3283</v>
      </c>
      <c r="F557" s="2">
        <v>997416.89</v>
      </c>
      <c r="G557" s="2">
        <v>997416.89</v>
      </c>
      <c r="H557" s="2">
        <v>0</v>
      </c>
      <c r="I557" s="2">
        <v>919859.89</v>
      </c>
      <c r="J557" s="2">
        <v>77557</v>
      </c>
      <c r="K557" s="3">
        <v>62045.599999999999</v>
      </c>
      <c r="L557" s="3">
        <v>15511.4</v>
      </c>
      <c r="M557" s="3">
        <v>0</v>
      </c>
      <c r="N557" s="4" t="s">
        <v>113</v>
      </c>
      <c r="O557" s="3" t="str">
        <f t="shared" si="23"/>
        <v>Offline - Box Office</v>
      </c>
      <c r="P557" s="11">
        <v>9021000</v>
      </c>
      <c r="Q557" s="3">
        <v>5374900000</v>
      </c>
      <c r="R557" s="3">
        <v>3403100000</v>
      </c>
      <c r="S557" s="11">
        <v>13300000</v>
      </c>
    </row>
    <row r="558" spans="1:19" x14ac:dyDescent="0.35">
      <c r="A558" s="1" t="s">
        <v>115</v>
      </c>
      <c r="B558" s="1" t="str">
        <f t="shared" si="24"/>
        <v>State Bank of India</v>
      </c>
      <c r="C558">
        <v>1663</v>
      </c>
      <c r="D558">
        <v>0</v>
      </c>
      <c r="E558">
        <v>6177</v>
      </c>
      <c r="F558" s="2">
        <v>1846052.91</v>
      </c>
      <c r="G558" s="2">
        <v>0</v>
      </c>
      <c r="H558" s="2">
        <v>1846052.91</v>
      </c>
      <c r="I558" s="2">
        <v>1697089.91</v>
      </c>
      <c r="J558" s="2">
        <v>148963</v>
      </c>
      <c r="K558" s="3">
        <v>119170.4</v>
      </c>
      <c r="L558" s="3">
        <v>29792.6</v>
      </c>
      <c r="M558" s="3">
        <v>0</v>
      </c>
      <c r="N558" s="4" t="s">
        <v>113</v>
      </c>
      <c r="O558" s="3" t="str">
        <f t="shared" si="23"/>
        <v>Offline - F&amp;B</v>
      </c>
      <c r="P558" s="11">
        <v>9021000</v>
      </c>
      <c r="Q558" s="3">
        <v>5374900000</v>
      </c>
      <c r="R558" s="3">
        <v>3403100000</v>
      </c>
      <c r="S558" s="11">
        <v>13300000</v>
      </c>
    </row>
    <row r="559" spans="1:19" x14ac:dyDescent="0.35">
      <c r="A559" s="1" t="s">
        <v>40</v>
      </c>
      <c r="B559" s="1" t="str">
        <f t="shared" si="24"/>
        <v>Standard Chartered Bank</v>
      </c>
      <c r="C559">
        <v>16</v>
      </c>
      <c r="D559">
        <v>16</v>
      </c>
      <c r="E559">
        <v>37</v>
      </c>
      <c r="F559" s="2">
        <v>10165.18</v>
      </c>
      <c r="G559" s="2">
        <v>10165.18</v>
      </c>
      <c r="H559" s="2">
        <v>0</v>
      </c>
      <c r="I559" s="2">
        <v>6997.59</v>
      </c>
      <c r="J559" s="2">
        <v>3167.59</v>
      </c>
      <c r="K559" s="3">
        <v>3167.59</v>
      </c>
      <c r="L559" s="3">
        <v>0</v>
      </c>
      <c r="M559" s="3">
        <v>0</v>
      </c>
      <c r="N559" s="4" t="s">
        <v>113</v>
      </c>
      <c r="O559" s="3" t="str">
        <f t="shared" si="23"/>
        <v>Offline - Box Office</v>
      </c>
      <c r="P559" s="11">
        <v>9021000</v>
      </c>
      <c r="Q559" s="3">
        <v>5374900000</v>
      </c>
      <c r="R559" s="3">
        <v>3403100000</v>
      </c>
      <c r="S559" s="11">
        <v>13300000</v>
      </c>
    </row>
    <row r="560" spans="1:19" x14ac:dyDescent="0.35">
      <c r="A560" s="1" t="s">
        <v>41</v>
      </c>
      <c r="B560" s="1" t="str">
        <f t="shared" si="24"/>
        <v>Standard Chartered Bank</v>
      </c>
      <c r="C560">
        <v>101</v>
      </c>
      <c r="D560">
        <v>101</v>
      </c>
      <c r="E560">
        <v>226</v>
      </c>
      <c r="F560" s="2">
        <v>69953.350000000006</v>
      </c>
      <c r="G560" s="2">
        <v>59133.55</v>
      </c>
      <c r="H560" s="2">
        <v>2000</v>
      </c>
      <c r="I560" s="2">
        <v>49774.81</v>
      </c>
      <c r="J560" s="2">
        <v>19984.54</v>
      </c>
      <c r="K560" s="3">
        <v>19984.54</v>
      </c>
      <c r="L560" s="3">
        <v>0</v>
      </c>
      <c r="M560" s="3">
        <v>8625.7999999999993</v>
      </c>
      <c r="N560" s="4" t="s">
        <v>113</v>
      </c>
      <c r="O560" s="3" t="str">
        <f t="shared" si="23"/>
        <v>Online</v>
      </c>
      <c r="P560" s="11">
        <v>9021000</v>
      </c>
      <c r="Q560" s="3">
        <v>5374900000</v>
      </c>
      <c r="R560" s="3">
        <v>3403100000</v>
      </c>
      <c r="S560" s="11">
        <v>13300000</v>
      </c>
    </row>
    <row r="561" spans="1:19" x14ac:dyDescent="0.35">
      <c r="A561" s="1" t="s">
        <v>106</v>
      </c>
      <c r="B561" s="1" t="str">
        <f t="shared" si="24"/>
        <v>Visa</v>
      </c>
      <c r="C561">
        <v>2284</v>
      </c>
      <c r="D561">
        <v>0</v>
      </c>
      <c r="E561">
        <v>16743</v>
      </c>
      <c r="F561" s="2">
        <v>5692218.1500000004</v>
      </c>
      <c r="G561" s="2">
        <v>0</v>
      </c>
      <c r="H561" s="2">
        <v>5692218.1500000004</v>
      </c>
      <c r="I561" s="2">
        <v>5235418.1500000004</v>
      </c>
      <c r="J561" s="2">
        <v>456800</v>
      </c>
      <c r="K561" s="3">
        <v>456800</v>
      </c>
      <c r="L561" s="3">
        <v>0</v>
      </c>
      <c r="M561" s="3">
        <v>0</v>
      </c>
      <c r="N561" s="4" t="s">
        <v>113</v>
      </c>
      <c r="O561" s="3" t="str">
        <f t="shared" si="23"/>
        <v>Offline - F&amp;B</v>
      </c>
      <c r="P561" s="11">
        <v>9021000</v>
      </c>
      <c r="Q561" s="3">
        <v>5374900000</v>
      </c>
      <c r="R561" s="3">
        <v>3403100000</v>
      </c>
      <c r="S561" s="11">
        <v>13300000</v>
      </c>
    </row>
    <row r="562" spans="1:19" x14ac:dyDescent="0.35">
      <c r="A562" s="1" t="s">
        <v>107</v>
      </c>
      <c r="B562" s="1" t="str">
        <f t="shared" si="24"/>
        <v>Visa</v>
      </c>
      <c r="C562">
        <v>764</v>
      </c>
      <c r="D562">
        <v>0</v>
      </c>
      <c r="E562">
        <v>2934</v>
      </c>
      <c r="F562" s="2">
        <v>1073885.51</v>
      </c>
      <c r="G562" s="2">
        <v>1073885.51</v>
      </c>
      <c r="H562" s="2">
        <v>0</v>
      </c>
      <c r="I562" s="2">
        <v>1073127.51</v>
      </c>
      <c r="J562" s="2">
        <v>758</v>
      </c>
      <c r="K562" s="3">
        <v>758</v>
      </c>
      <c r="L562" s="3">
        <v>0</v>
      </c>
      <c r="M562" s="3">
        <v>0</v>
      </c>
      <c r="N562" s="4" t="s">
        <v>113</v>
      </c>
      <c r="O562" s="3" t="str">
        <f t="shared" si="23"/>
        <v>Other</v>
      </c>
      <c r="P562" s="11">
        <v>9021000</v>
      </c>
      <c r="Q562" s="3">
        <v>5374900000</v>
      </c>
      <c r="R562" s="3">
        <v>3403100000</v>
      </c>
      <c r="S562" s="11">
        <v>13300000</v>
      </c>
    </row>
    <row r="563" spans="1:19" x14ac:dyDescent="0.35">
      <c r="A563" s="1" t="s">
        <v>108</v>
      </c>
      <c r="B563" s="1" t="str">
        <f t="shared" si="24"/>
        <v>Visa</v>
      </c>
      <c r="C563">
        <v>13472</v>
      </c>
      <c r="D563">
        <v>0</v>
      </c>
      <c r="E563">
        <v>32058</v>
      </c>
      <c r="F563" s="2">
        <v>9157906.0899999999</v>
      </c>
      <c r="G563" s="2">
        <v>0</v>
      </c>
      <c r="H563" s="2">
        <v>9157906.0899999999</v>
      </c>
      <c r="I563" s="2">
        <v>7338507.0899999999</v>
      </c>
      <c r="J563" s="2">
        <v>1819399</v>
      </c>
      <c r="K563" s="3">
        <v>1819399</v>
      </c>
      <c r="L563" s="3">
        <v>0</v>
      </c>
      <c r="M563" s="3">
        <v>0</v>
      </c>
      <c r="N563" s="4" t="s">
        <v>113</v>
      </c>
      <c r="O563" s="3" t="str">
        <f t="shared" si="23"/>
        <v>Offline - F&amp;B</v>
      </c>
      <c r="P563" s="11">
        <v>9021000</v>
      </c>
      <c r="Q563" s="3">
        <v>5374900000</v>
      </c>
      <c r="R563" s="3">
        <v>3403100000</v>
      </c>
      <c r="S563" s="11">
        <v>13300000</v>
      </c>
    </row>
    <row r="564" spans="1:19" x14ac:dyDescent="0.35">
      <c r="A564" s="1" t="s">
        <v>116</v>
      </c>
      <c r="B564" s="1" t="str">
        <f t="shared" si="24"/>
        <v>ICICI Bank</v>
      </c>
      <c r="C564">
        <v>527</v>
      </c>
      <c r="D564">
        <v>0</v>
      </c>
      <c r="E564">
        <v>1554</v>
      </c>
      <c r="F564" s="2">
        <v>517022.15</v>
      </c>
      <c r="G564" s="2">
        <v>0</v>
      </c>
      <c r="H564" s="2">
        <v>517022.15</v>
      </c>
      <c r="I564" s="2">
        <v>414438.15</v>
      </c>
      <c r="J564" s="2">
        <v>102584</v>
      </c>
      <c r="K564" s="3">
        <v>97454.8</v>
      </c>
      <c r="L564" s="3">
        <v>5129.2</v>
      </c>
      <c r="M564" s="3">
        <v>0</v>
      </c>
      <c r="N564" s="4" t="s">
        <v>117</v>
      </c>
      <c r="O564" s="3" t="str">
        <f t="shared" si="23"/>
        <v>Offline - F&amp;B</v>
      </c>
      <c r="P564" s="11">
        <v>7686000</v>
      </c>
      <c r="Q564" s="3">
        <v>4830800000</v>
      </c>
      <c r="R564" s="3">
        <v>3093600000</v>
      </c>
      <c r="S564" s="11">
        <v>11600000</v>
      </c>
    </row>
    <row r="565" spans="1:19" x14ac:dyDescent="0.35">
      <c r="A565" s="1" t="s">
        <v>91</v>
      </c>
      <c r="B565" s="1" t="str">
        <f t="shared" si="24"/>
        <v>American Express</v>
      </c>
      <c r="C565">
        <v>452</v>
      </c>
      <c r="D565">
        <v>452</v>
      </c>
      <c r="E565">
        <v>1297</v>
      </c>
      <c r="F565" s="2">
        <v>675937.28000000003</v>
      </c>
      <c r="G565" s="2">
        <v>675937.28000000003</v>
      </c>
      <c r="H565" s="2">
        <v>0</v>
      </c>
      <c r="I565" s="2">
        <v>498409.23</v>
      </c>
      <c r="J565" s="2">
        <v>177528.05</v>
      </c>
      <c r="K565" s="3">
        <v>88764.05</v>
      </c>
      <c r="L565" s="3">
        <v>88764.05</v>
      </c>
      <c r="M565" s="3">
        <v>0</v>
      </c>
      <c r="N565" s="4" t="s">
        <v>117</v>
      </c>
      <c r="O565" s="3" t="str">
        <f t="shared" si="23"/>
        <v>Offline - Box Office</v>
      </c>
      <c r="P565" s="11">
        <v>7686000</v>
      </c>
      <c r="Q565" s="3">
        <v>4830800000</v>
      </c>
      <c r="R565" s="3">
        <v>3093600000</v>
      </c>
      <c r="S565" s="11">
        <v>11600000</v>
      </c>
    </row>
    <row r="566" spans="1:19" x14ac:dyDescent="0.35">
      <c r="A566" s="1" t="s">
        <v>93</v>
      </c>
      <c r="B566" s="1" t="str">
        <f t="shared" si="24"/>
        <v>American Express</v>
      </c>
      <c r="C566">
        <v>1841</v>
      </c>
      <c r="D566">
        <v>1841</v>
      </c>
      <c r="E566">
        <v>4878</v>
      </c>
      <c r="F566" s="2">
        <v>3119590.82</v>
      </c>
      <c r="G566" s="2">
        <v>2791660.8</v>
      </c>
      <c r="H566" s="2">
        <v>48298</v>
      </c>
      <c r="I566" s="2">
        <v>2358633.4300000002</v>
      </c>
      <c r="J566" s="2">
        <v>756713.39</v>
      </c>
      <c r="K566" s="3">
        <v>378356.93</v>
      </c>
      <c r="L566" s="3">
        <v>378356.93</v>
      </c>
      <c r="M566" s="3">
        <v>273748.02</v>
      </c>
      <c r="N566" s="4" t="s">
        <v>117</v>
      </c>
      <c r="O566" s="3" t="str">
        <f t="shared" si="23"/>
        <v>Online</v>
      </c>
      <c r="P566" s="11">
        <v>7686000</v>
      </c>
      <c r="Q566" s="3">
        <v>4830800000</v>
      </c>
      <c r="R566" s="3">
        <v>3093600000</v>
      </c>
      <c r="S566" s="11">
        <v>11600000</v>
      </c>
    </row>
    <row r="567" spans="1:19" x14ac:dyDescent="0.35">
      <c r="A567" s="1" t="s">
        <v>59</v>
      </c>
      <c r="B567" s="1" t="str">
        <f t="shared" si="24"/>
        <v>AU Bank</v>
      </c>
      <c r="C567">
        <v>465</v>
      </c>
      <c r="D567">
        <v>0</v>
      </c>
      <c r="E567">
        <v>1547</v>
      </c>
      <c r="F567" s="2">
        <v>450259.4</v>
      </c>
      <c r="G567" s="2">
        <v>450259.4</v>
      </c>
      <c r="H567" s="2">
        <v>0</v>
      </c>
      <c r="I567" s="2">
        <v>403859.4</v>
      </c>
      <c r="J567" s="2">
        <v>46400</v>
      </c>
      <c r="K567" s="3">
        <v>46400</v>
      </c>
      <c r="L567" s="3">
        <v>0</v>
      </c>
      <c r="M567" s="3">
        <v>0</v>
      </c>
      <c r="N567" s="4" t="s">
        <v>117</v>
      </c>
      <c r="O567" s="3" t="str">
        <f t="shared" si="23"/>
        <v>Offline - Box Office</v>
      </c>
      <c r="P567" s="11">
        <v>7686000</v>
      </c>
      <c r="Q567" s="3">
        <v>4830800000</v>
      </c>
      <c r="R567" s="3">
        <v>3093600000</v>
      </c>
      <c r="S567" s="11">
        <v>11600000</v>
      </c>
    </row>
    <row r="568" spans="1:19" x14ac:dyDescent="0.35">
      <c r="A568" s="1" t="s">
        <v>19</v>
      </c>
      <c r="B568" s="1" t="str">
        <f t="shared" si="24"/>
        <v>AU Bank</v>
      </c>
      <c r="C568">
        <v>326</v>
      </c>
      <c r="D568">
        <v>0</v>
      </c>
      <c r="E568">
        <v>964</v>
      </c>
      <c r="F568" s="2">
        <v>362535.76</v>
      </c>
      <c r="G568" s="2">
        <v>311129.62</v>
      </c>
      <c r="H568" s="2">
        <v>8320</v>
      </c>
      <c r="I568" s="2">
        <v>329223.76</v>
      </c>
      <c r="J568" s="2">
        <v>32600</v>
      </c>
      <c r="K568" s="3">
        <v>32600</v>
      </c>
      <c r="L568" s="3">
        <v>0</v>
      </c>
      <c r="M568" s="3">
        <v>42172.14</v>
      </c>
      <c r="N568" s="4" t="s">
        <v>117</v>
      </c>
      <c r="O568" s="3" t="str">
        <f t="shared" si="23"/>
        <v>Online</v>
      </c>
      <c r="P568" s="11">
        <v>7686000</v>
      </c>
      <c r="Q568" s="3">
        <v>4830800000</v>
      </c>
      <c r="R568" s="3">
        <v>3093600000</v>
      </c>
      <c r="S568" s="11">
        <v>11600000</v>
      </c>
    </row>
    <row r="569" spans="1:19" x14ac:dyDescent="0.35">
      <c r="A569" s="1" t="s">
        <v>43</v>
      </c>
      <c r="B569" s="1" t="str">
        <f t="shared" si="24"/>
        <v>Axis Bank</v>
      </c>
      <c r="C569">
        <v>17</v>
      </c>
      <c r="D569">
        <v>17</v>
      </c>
      <c r="E569">
        <v>48</v>
      </c>
      <c r="F569" s="2">
        <v>13344</v>
      </c>
      <c r="G569" s="2">
        <v>13344</v>
      </c>
      <c r="H569" s="2">
        <v>0</v>
      </c>
      <c r="I569" s="2">
        <v>10135</v>
      </c>
      <c r="J569" s="2">
        <v>3209</v>
      </c>
      <c r="K569" s="3">
        <v>2823.92</v>
      </c>
      <c r="L569" s="3">
        <v>385.08</v>
      </c>
      <c r="M569" s="3">
        <v>0</v>
      </c>
      <c r="N569" s="4" t="s">
        <v>117</v>
      </c>
      <c r="O569" s="3" t="str">
        <f t="shared" si="23"/>
        <v>Offline - Box Office</v>
      </c>
      <c r="P569" s="11">
        <v>7686000</v>
      </c>
      <c r="Q569" s="3">
        <v>4830800000</v>
      </c>
      <c r="R569" s="3">
        <v>3093600000</v>
      </c>
      <c r="S569" s="11">
        <v>11600000</v>
      </c>
    </row>
    <row r="570" spans="1:19" x14ac:dyDescent="0.35">
      <c r="A570" s="1" t="s">
        <v>23</v>
      </c>
      <c r="B570" s="1" t="str">
        <f t="shared" si="24"/>
        <v>Axis Bank</v>
      </c>
      <c r="C570">
        <v>19</v>
      </c>
      <c r="D570">
        <v>19</v>
      </c>
      <c r="E570">
        <v>52</v>
      </c>
      <c r="F570" s="2">
        <v>17311.400000000001</v>
      </c>
      <c r="G570" s="2">
        <v>15154.22</v>
      </c>
      <c r="H570" s="2">
        <v>0</v>
      </c>
      <c r="I570" s="2">
        <v>13657</v>
      </c>
      <c r="J570" s="2">
        <v>3626.4</v>
      </c>
      <c r="K570" s="3">
        <v>3082.44</v>
      </c>
      <c r="L570" s="3">
        <v>543.96</v>
      </c>
      <c r="M570" s="3">
        <v>2125.1799999999998</v>
      </c>
      <c r="N570" s="4" t="s">
        <v>117</v>
      </c>
      <c r="O570" s="3" t="str">
        <f t="shared" si="23"/>
        <v>Online</v>
      </c>
      <c r="P570" s="11">
        <v>7686000</v>
      </c>
      <c r="Q570" s="3">
        <v>4830800000</v>
      </c>
      <c r="R570" s="3">
        <v>3093600000</v>
      </c>
      <c r="S570" s="11">
        <v>11600000</v>
      </c>
    </row>
    <row r="571" spans="1:19" x14ac:dyDescent="0.35">
      <c r="A571" s="1" t="s">
        <v>44</v>
      </c>
      <c r="B571" s="1" t="str">
        <f t="shared" si="24"/>
        <v>Axis Bank</v>
      </c>
      <c r="C571">
        <v>238</v>
      </c>
      <c r="D571">
        <v>238</v>
      </c>
      <c r="E571">
        <v>621</v>
      </c>
      <c r="F571" s="2">
        <v>159207.96</v>
      </c>
      <c r="G571" s="2">
        <v>159207.96</v>
      </c>
      <c r="H571" s="2">
        <v>0</v>
      </c>
      <c r="I571" s="2">
        <v>114168.34</v>
      </c>
      <c r="J571" s="2">
        <v>45039.62</v>
      </c>
      <c r="K571" s="3">
        <v>39634.81</v>
      </c>
      <c r="L571" s="3">
        <v>5404.81</v>
      </c>
      <c r="M571" s="3">
        <v>0</v>
      </c>
      <c r="N571" s="4" t="s">
        <v>117</v>
      </c>
      <c r="O571" s="3" t="str">
        <f t="shared" si="23"/>
        <v>Offline - Box Office</v>
      </c>
      <c r="P571" s="11">
        <v>7686000</v>
      </c>
      <c r="Q571" s="3">
        <v>4830800000</v>
      </c>
      <c r="R571" s="3">
        <v>3093600000</v>
      </c>
      <c r="S571" s="11">
        <v>11600000</v>
      </c>
    </row>
    <row r="572" spans="1:19" x14ac:dyDescent="0.35">
      <c r="A572" s="1" t="s">
        <v>24</v>
      </c>
      <c r="B572" s="1" t="str">
        <f t="shared" si="24"/>
        <v>Axis Bank</v>
      </c>
      <c r="C572">
        <v>685</v>
      </c>
      <c r="D572">
        <v>685</v>
      </c>
      <c r="E572">
        <v>1587</v>
      </c>
      <c r="F572" s="2">
        <v>455388.51</v>
      </c>
      <c r="G572" s="2">
        <v>396225.39</v>
      </c>
      <c r="H572" s="2">
        <v>2710</v>
      </c>
      <c r="I572" s="2">
        <v>323016.23</v>
      </c>
      <c r="J572" s="2">
        <v>131508.28</v>
      </c>
      <c r="K572" s="3">
        <v>111782.01</v>
      </c>
      <c r="L572" s="3">
        <v>19726.27</v>
      </c>
      <c r="M572" s="3">
        <v>55269.120000000003</v>
      </c>
      <c r="N572" s="4" t="s">
        <v>117</v>
      </c>
      <c r="O572" s="3" t="str">
        <f t="shared" si="23"/>
        <v>Online</v>
      </c>
      <c r="P572" s="11">
        <v>7686000</v>
      </c>
      <c r="Q572" s="3">
        <v>4830800000</v>
      </c>
      <c r="R572" s="3">
        <v>3093600000</v>
      </c>
      <c r="S572" s="11">
        <v>11600000</v>
      </c>
    </row>
    <row r="573" spans="1:19" x14ac:dyDescent="0.35">
      <c r="A573" s="1" t="s">
        <v>54</v>
      </c>
      <c r="B573" s="1" t="str">
        <f t="shared" si="24"/>
        <v>BOB Card</v>
      </c>
      <c r="C573">
        <v>33</v>
      </c>
      <c r="D573">
        <v>0</v>
      </c>
      <c r="E573">
        <v>53</v>
      </c>
      <c r="F573" s="2">
        <v>29242.880000000001</v>
      </c>
      <c r="G573" s="2">
        <v>24053.200000000001</v>
      </c>
      <c r="H573" s="2">
        <v>4850</v>
      </c>
      <c r="I573" s="2">
        <v>26545.88</v>
      </c>
      <c r="J573" s="2">
        <v>2693</v>
      </c>
      <c r="K573" s="3">
        <v>1885.1</v>
      </c>
      <c r="L573" s="3">
        <v>807.9</v>
      </c>
      <c r="M573" s="3">
        <v>325.68</v>
      </c>
      <c r="N573" s="4" t="s">
        <v>117</v>
      </c>
      <c r="O573" s="3" t="str">
        <f t="shared" si="23"/>
        <v>Online</v>
      </c>
      <c r="P573" s="11">
        <v>7686000</v>
      </c>
      <c r="Q573" s="3">
        <v>4830800000</v>
      </c>
      <c r="R573" s="3">
        <v>3093600000</v>
      </c>
      <c r="S573" s="11">
        <v>11600000</v>
      </c>
    </row>
    <row r="574" spans="1:19" x14ac:dyDescent="0.35">
      <c r="A574" s="1" t="s">
        <v>55</v>
      </c>
      <c r="B574" s="1" t="str">
        <f t="shared" si="24"/>
        <v>BOB Card</v>
      </c>
      <c r="C574">
        <v>674</v>
      </c>
      <c r="D574">
        <v>0</v>
      </c>
      <c r="E574">
        <v>2161</v>
      </c>
      <c r="F574" s="2">
        <v>654097.21</v>
      </c>
      <c r="G574" s="2">
        <v>0</v>
      </c>
      <c r="H574" s="2">
        <v>654097.21</v>
      </c>
      <c r="I574" s="2">
        <v>590118.21</v>
      </c>
      <c r="J574" s="2">
        <v>63979</v>
      </c>
      <c r="K574" s="3">
        <v>44785.3</v>
      </c>
      <c r="L574" s="3">
        <v>19193.7</v>
      </c>
      <c r="M574" s="3">
        <v>0</v>
      </c>
      <c r="N574" s="4" t="s">
        <v>117</v>
      </c>
      <c r="O574" s="3" t="str">
        <f t="shared" si="23"/>
        <v>Offline - F&amp;B</v>
      </c>
      <c r="P574" s="11">
        <v>7686000</v>
      </c>
      <c r="Q574" s="3">
        <v>4830800000</v>
      </c>
      <c r="R574" s="3">
        <v>3093600000</v>
      </c>
      <c r="S574" s="11">
        <v>11600000</v>
      </c>
    </row>
    <row r="575" spans="1:19" x14ac:dyDescent="0.35">
      <c r="A575" s="1" t="s">
        <v>73</v>
      </c>
      <c r="B575" s="1" t="str">
        <f t="shared" si="24"/>
        <v>Federal Bank</v>
      </c>
      <c r="C575">
        <v>851</v>
      </c>
      <c r="D575">
        <v>851</v>
      </c>
      <c r="E575">
        <v>2408</v>
      </c>
      <c r="F575" s="2">
        <v>555942.42000000004</v>
      </c>
      <c r="G575" s="2">
        <v>555942.42000000004</v>
      </c>
      <c r="H575" s="2">
        <v>0</v>
      </c>
      <c r="I575" s="2">
        <v>471140.32</v>
      </c>
      <c r="J575" s="2">
        <v>84802.1</v>
      </c>
      <c r="K575" s="3">
        <v>67841.7</v>
      </c>
      <c r="L575" s="3">
        <v>16960.400000000001</v>
      </c>
      <c r="M575" s="3">
        <v>0</v>
      </c>
      <c r="N575" s="4" t="s">
        <v>117</v>
      </c>
      <c r="O575" s="3" t="str">
        <f t="shared" si="23"/>
        <v>Offline - Box Office</v>
      </c>
      <c r="P575" s="11">
        <v>7686000</v>
      </c>
      <c r="Q575" s="3">
        <v>4830800000</v>
      </c>
      <c r="R575" s="3">
        <v>3093600000</v>
      </c>
      <c r="S575" s="11">
        <v>11600000</v>
      </c>
    </row>
    <row r="576" spans="1:19" x14ac:dyDescent="0.35">
      <c r="A576" s="1" t="s">
        <v>74</v>
      </c>
      <c r="B576" s="1" t="str">
        <f t="shared" si="24"/>
        <v>Federal Bank</v>
      </c>
      <c r="C576">
        <v>495</v>
      </c>
      <c r="D576">
        <v>495</v>
      </c>
      <c r="E576">
        <v>1263</v>
      </c>
      <c r="F576" s="2">
        <v>320985.09999999998</v>
      </c>
      <c r="G576" s="2">
        <v>275076.46000000002</v>
      </c>
      <c r="H576" s="2">
        <v>2880</v>
      </c>
      <c r="I576" s="2">
        <v>271492.62</v>
      </c>
      <c r="J576" s="2">
        <v>48850.48</v>
      </c>
      <c r="K576" s="3">
        <v>39080.410000000003</v>
      </c>
      <c r="L576" s="3">
        <v>9770.07</v>
      </c>
      <c r="M576" s="3">
        <v>42160.639999999999</v>
      </c>
      <c r="N576" s="4" t="s">
        <v>117</v>
      </c>
      <c r="O576" s="3" t="str">
        <f t="shared" si="23"/>
        <v>Online</v>
      </c>
      <c r="P576" s="11">
        <v>7686000</v>
      </c>
      <c r="Q576" s="3">
        <v>4830800000</v>
      </c>
      <c r="R576" s="3">
        <v>3093600000</v>
      </c>
      <c r="S576" s="11">
        <v>11600000</v>
      </c>
    </row>
    <row r="577" spans="1:19" x14ac:dyDescent="0.35">
      <c r="A577" s="1" t="s">
        <v>27</v>
      </c>
      <c r="B577" s="1" t="str">
        <f t="shared" si="24"/>
        <v>Federal Bank</v>
      </c>
      <c r="C577">
        <v>83</v>
      </c>
      <c r="D577">
        <v>83</v>
      </c>
      <c r="E577">
        <v>249</v>
      </c>
      <c r="F577" s="2">
        <v>67922.179999999993</v>
      </c>
      <c r="G577" s="2">
        <v>67922.179999999993</v>
      </c>
      <c r="H577" s="2">
        <v>0</v>
      </c>
      <c r="I577" s="2">
        <v>59664.21</v>
      </c>
      <c r="J577" s="2">
        <v>8257.9699999999993</v>
      </c>
      <c r="K577" s="3">
        <v>8257.9699999999993</v>
      </c>
      <c r="L577" s="3">
        <v>0</v>
      </c>
      <c r="M577" s="3">
        <v>0</v>
      </c>
      <c r="N577" s="4" t="s">
        <v>117</v>
      </c>
      <c r="O577" s="3" t="str">
        <f t="shared" si="23"/>
        <v>Offline - Box Office</v>
      </c>
      <c r="P577" s="11">
        <v>7686000</v>
      </c>
      <c r="Q577" s="3">
        <v>4830800000</v>
      </c>
      <c r="R577" s="3">
        <v>3093600000</v>
      </c>
      <c r="S577" s="11">
        <v>11600000</v>
      </c>
    </row>
    <row r="578" spans="1:19" x14ac:dyDescent="0.35">
      <c r="A578" s="1" t="s">
        <v>28</v>
      </c>
      <c r="B578" s="1" t="str">
        <f t="shared" si="24"/>
        <v>Federal Bank</v>
      </c>
      <c r="C578">
        <v>80</v>
      </c>
      <c r="D578">
        <v>80</v>
      </c>
      <c r="E578">
        <v>199</v>
      </c>
      <c r="F578" s="2">
        <v>66989.039999999994</v>
      </c>
      <c r="G578" s="2">
        <v>57313.32</v>
      </c>
      <c r="H578" s="2">
        <v>1740</v>
      </c>
      <c r="I578" s="2">
        <v>58910.13</v>
      </c>
      <c r="J578" s="2">
        <v>7914.91</v>
      </c>
      <c r="K578" s="3">
        <v>7914.91</v>
      </c>
      <c r="L578" s="3">
        <v>0</v>
      </c>
      <c r="M578" s="3">
        <v>7737.72</v>
      </c>
      <c r="N578" s="4" t="s">
        <v>117</v>
      </c>
      <c r="O578" s="3" t="str">
        <f t="shared" ref="O578:O641" si="25">IF(ISNUMBER(SEARCH("Box Office",A578)),"Offline - Box Office",
IF(ISNUMBER(SEARCH("Digital Platforms",A578)),"Online",
IF(ISNUMBER(SEARCH("Refuel",A578)),"Offline - F&amp;B",
IF(ISNUMBER(SEARCH("Food &amp; Beverages",A578)),"Offline - F&amp;B",
IF(ISNUMBER(SEARCH("F&amp;B",A578)),"Offline - F&amp;B",
IF(ISNUMBER(SEARCH("Kiosk",A578)),"Offline - Box Office",
IF(ISNUMBER(SEARCH("Cinema",A578)),"Offline - Box Office",
"Other")))))))</f>
        <v>Online</v>
      </c>
      <c r="P578" s="11">
        <v>7686000</v>
      </c>
      <c r="Q578" s="3">
        <v>4830800000</v>
      </c>
      <c r="R578" s="3">
        <v>3093600000</v>
      </c>
      <c r="S578" s="11">
        <v>11600000</v>
      </c>
    </row>
    <row r="579" spans="1:19" x14ac:dyDescent="0.35">
      <c r="A579" s="1" t="s">
        <v>29</v>
      </c>
      <c r="B579" s="1" t="str">
        <f t="shared" si="24"/>
        <v>Federal Bank</v>
      </c>
      <c r="C579">
        <v>255</v>
      </c>
      <c r="D579">
        <v>255</v>
      </c>
      <c r="E579">
        <v>696</v>
      </c>
      <c r="F579" s="2">
        <v>168135.53</v>
      </c>
      <c r="G579" s="2">
        <v>168135.53</v>
      </c>
      <c r="H579" s="2">
        <v>0</v>
      </c>
      <c r="I579" s="2">
        <v>142720.73000000001</v>
      </c>
      <c r="J579" s="2">
        <v>25414.799999999999</v>
      </c>
      <c r="K579" s="3">
        <v>25414.799999999999</v>
      </c>
      <c r="L579" s="3">
        <v>0</v>
      </c>
      <c r="M579" s="3">
        <v>0</v>
      </c>
      <c r="N579" s="4" t="s">
        <v>117</v>
      </c>
      <c r="O579" s="3" t="str">
        <f t="shared" si="25"/>
        <v>Offline - Box Office</v>
      </c>
      <c r="P579" s="11">
        <v>7686000</v>
      </c>
      <c r="Q579" s="3">
        <v>4830800000</v>
      </c>
      <c r="R579" s="3">
        <v>3093600000</v>
      </c>
      <c r="S579" s="11">
        <v>11600000</v>
      </c>
    </row>
    <row r="580" spans="1:19" x14ac:dyDescent="0.35">
      <c r="A580" s="1" t="s">
        <v>30</v>
      </c>
      <c r="B580" s="1" t="str">
        <f t="shared" si="24"/>
        <v>Federal Bank</v>
      </c>
      <c r="C580">
        <v>162</v>
      </c>
      <c r="D580">
        <v>162</v>
      </c>
      <c r="E580">
        <v>383</v>
      </c>
      <c r="F580" s="2">
        <v>102255.05</v>
      </c>
      <c r="G580" s="2">
        <v>87242.29</v>
      </c>
      <c r="H580" s="2">
        <v>1450</v>
      </c>
      <c r="I580" s="2">
        <v>85917.3</v>
      </c>
      <c r="J580" s="2">
        <v>16069.75</v>
      </c>
      <c r="K580" s="3">
        <v>16069.75</v>
      </c>
      <c r="L580" s="3">
        <v>0</v>
      </c>
      <c r="M580" s="3">
        <v>13164.76</v>
      </c>
      <c r="N580" s="4" t="s">
        <v>117</v>
      </c>
      <c r="O580" s="3" t="str">
        <f t="shared" si="25"/>
        <v>Online</v>
      </c>
      <c r="P580" s="11">
        <v>7686000</v>
      </c>
      <c r="Q580" s="3">
        <v>4830800000</v>
      </c>
      <c r="R580" s="3">
        <v>3093600000</v>
      </c>
      <c r="S580" s="11">
        <v>11600000</v>
      </c>
    </row>
    <row r="581" spans="1:19" x14ac:dyDescent="0.35">
      <c r="A581" s="1" t="s">
        <v>32</v>
      </c>
      <c r="B581" s="1" t="str">
        <f t="shared" si="24"/>
        <v>ICICI Bank</v>
      </c>
      <c r="C581">
        <v>3665</v>
      </c>
      <c r="D581">
        <v>0</v>
      </c>
      <c r="E581">
        <v>10768</v>
      </c>
      <c r="F581" s="2">
        <v>2825211.71</v>
      </c>
      <c r="G581" s="2">
        <v>2825211.71</v>
      </c>
      <c r="H581" s="2">
        <v>0</v>
      </c>
      <c r="I581" s="2">
        <v>2446256.71</v>
      </c>
      <c r="J581" s="2">
        <v>378955</v>
      </c>
      <c r="K581" s="3">
        <v>333480.40000000002</v>
      </c>
      <c r="L581" s="3">
        <v>45474.6</v>
      </c>
      <c r="M581" s="3">
        <v>0</v>
      </c>
      <c r="N581" s="4" t="s">
        <v>117</v>
      </c>
      <c r="O581" s="3" t="str">
        <f t="shared" si="25"/>
        <v>Offline - Box Office</v>
      </c>
      <c r="P581" s="11">
        <v>7686000</v>
      </c>
      <c r="Q581" s="3">
        <v>4830800000</v>
      </c>
      <c r="R581" s="3">
        <v>3093600000</v>
      </c>
      <c r="S581" s="11">
        <v>11600000</v>
      </c>
    </row>
    <row r="582" spans="1:19" x14ac:dyDescent="0.35">
      <c r="A582" s="1" t="s">
        <v>33</v>
      </c>
      <c r="B582" s="1" t="str">
        <f t="shared" si="24"/>
        <v>ICICI Bank</v>
      </c>
      <c r="C582">
        <v>947</v>
      </c>
      <c r="D582">
        <v>0</v>
      </c>
      <c r="E582">
        <v>2571</v>
      </c>
      <c r="F582" s="2">
        <v>795060.38</v>
      </c>
      <c r="G582" s="2">
        <v>677033.24</v>
      </c>
      <c r="H582" s="2">
        <v>21345</v>
      </c>
      <c r="I582" s="2">
        <v>690074.38</v>
      </c>
      <c r="J582" s="2">
        <v>103546</v>
      </c>
      <c r="K582" s="3">
        <v>88014.1</v>
      </c>
      <c r="L582" s="3">
        <v>15531.9</v>
      </c>
      <c r="M582" s="3">
        <v>94688.14</v>
      </c>
      <c r="N582" s="4" t="s">
        <v>117</v>
      </c>
      <c r="O582" s="3" t="str">
        <f t="shared" si="25"/>
        <v>Online</v>
      </c>
      <c r="P582" s="11">
        <v>7686000</v>
      </c>
      <c r="Q582" s="3">
        <v>4830800000</v>
      </c>
      <c r="R582" s="3">
        <v>3093600000</v>
      </c>
      <c r="S582" s="11">
        <v>11600000</v>
      </c>
    </row>
    <row r="583" spans="1:19" x14ac:dyDescent="0.35">
      <c r="A583" s="1" t="s">
        <v>34</v>
      </c>
      <c r="B583" s="1" t="str">
        <f t="shared" si="24"/>
        <v>ICICI Bank</v>
      </c>
      <c r="C583">
        <v>430</v>
      </c>
      <c r="D583">
        <v>0</v>
      </c>
      <c r="E583">
        <v>1260</v>
      </c>
      <c r="F583" s="2">
        <v>369479.2</v>
      </c>
      <c r="G583" s="2">
        <v>369479.2</v>
      </c>
      <c r="H583" s="2">
        <v>0</v>
      </c>
      <c r="I583" s="2">
        <v>346347.2</v>
      </c>
      <c r="J583" s="2">
        <v>23132</v>
      </c>
      <c r="K583" s="3">
        <v>20356.16</v>
      </c>
      <c r="L583" s="3">
        <v>2775.84</v>
      </c>
      <c r="M583" s="3">
        <v>0</v>
      </c>
      <c r="N583" s="4" t="s">
        <v>117</v>
      </c>
      <c r="O583" s="3" t="str">
        <f t="shared" si="25"/>
        <v>Offline - Box Office</v>
      </c>
      <c r="P583" s="11">
        <v>7686000</v>
      </c>
      <c r="Q583" s="3">
        <v>4830800000</v>
      </c>
      <c r="R583" s="3">
        <v>3093600000</v>
      </c>
      <c r="S583" s="11">
        <v>11600000</v>
      </c>
    </row>
    <row r="584" spans="1:19" x14ac:dyDescent="0.35">
      <c r="A584" s="1" t="s">
        <v>35</v>
      </c>
      <c r="B584" s="1" t="str">
        <f t="shared" si="24"/>
        <v>ICICI Bank</v>
      </c>
      <c r="C584">
        <v>95</v>
      </c>
      <c r="D584">
        <v>0</v>
      </c>
      <c r="E584">
        <v>284</v>
      </c>
      <c r="F584" s="2">
        <v>93323.92</v>
      </c>
      <c r="G584" s="2">
        <v>79373.52</v>
      </c>
      <c r="H584" s="2">
        <v>2980</v>
      </c>
      <c r="I584" s="2">
        <v>87662.92</v>
      </c>
      <c r="J584" s="2">
        <v>5499</v>
      </c>
      <c r="K584" s="3">
        <v>4674.1499999999996</v>
      </c>
      <c r="L584" s="3">
        <v>824.85</v>
      </c>
      <c r="M584" s="3">
        <v>10762.4</v>
      </c>
      <c r="N584" s="4" t="s">
        <v>117</v>
      </c>
      <c r="O584" s="3" t="str">
        <f t="shared" si="25"/>
        <v>Online</v>
      </c>
      <c r="P584" s="11">
        <v>7686000</v>
      </c>
      <c r="Q584" s="3">
        <v>4830800000</v>
      </c>
      <c r="R584" s="3">
        <v>3093600000</v>
      </c>
      <c r="S584" s="11">
        <v>11600000</v>
      </c>
    </row>
    <row r="585" spans="1:19" x14ac:dyDescent="0.35">
      <c r="A585" s="1" t="s">
        <v>110</v>
      </c>
      <c r="B585" s="1" t="str">
        <f t="shared" si="24"/>
        <v>IDBI Bank</v>
      </c>
      <c r="C585">
        <v>145</v>
      </c>
      <c r="D585">
        <v>0</v>
      </c>
      <c r="E585">
        <v>625</v>
      </c>
      <c r="F585" s="2">
        <v>200893.76</v>
      </c>
      <c r="G585" s="2">
        <v>200893.76</v>
      </c>
      <c r="H585" s="2">
        <v>0</v>
      </c>
      <c r="I585" s="2">
        <v>179894.76</v>
      </c>
      <c r="J585" s="2">
        <v>20999</v>
      </c>
      <c r="K585" s="3">
        <v>19949.05</v>
      </c>
      <c r="L585" s="3">
        <v>1049.95</v>
      </c>
      <c r="M585" s="3">
        <v>0</v>
      </c>
      <c r="N585" s="4" t="s">
        <v>117</v>
      </c>
      <c r="O585" s="3" t="str">
        <f t="shared" si="25"/>
        <v>Offline - Box Office</v>
      </c>
      <c r="P585" s="11">
        <v>7686000</v>
      </c>
      <c r="Q585" s="3">
        <v>4830800000</v>
      </c>
      <c r="R585" s="3">
        <v>3093600000</v>
      </c>
      <c r="S585" s="11">
        <v>11600000</v>
      </c>
    </row>
    <row r="586" spans="1:19" x14ac:dyDescent="0.35">
      <c r="A586" s="1" t="s">
        <v>111</v>
      </c>
      <c r="B586" s="1" t="str">
        <f t="shared" si="24"/>
        <v>IDBI Bank</v>
      </c>
      <c r="C586">
        <v>106</v>
      </c>
      <c r="D586">
        <v>0</v>
      </c>
      <c r="E586">
        <v>382</v>
      </c>
      <c r="F586" s="2">
        <v>160476.72</v>
      </c>
      <c r="G586" s="2">
        <v>137032.12</v>
      </c>
      <c r="H586" s="2">
        <v>6475</v>
      </c>
      <c r="I586" s="2">
        <v>145080.72</v>
      </c>
      <c r="J586" s="2">
        <v>15232</v>
      </c>
      <c r="K586" s="3">
        <v>15232</v>
      </c>
      <c r="L586" s="3">
        <v>0</v>
      </c>
      <c r="M586" s="3">
        <v>16779.599999999999</v>
      </c>
      <c r="N586" s="4" t="s">
        <v>117</v>
      </c>
      <c r="O586" s="3" t="str">
        <f t="shared" si="25"/>
        <v>Online</v>
      </c>
      <c r="P586" s="11">
        <v>7686000</v>
      </c>
      <c r="Q586" s="3">
        <v>4830800000</v>
      </c>
      <c r="R586" s="3">
        <v>3093600000</v>
      </c>
      <c r="S586" s="11">
        <v>11600000</v>
      </c>
    </row>
    <row r="587" spans="1:19" x14ac:dyDescent="0.35">
      <c r="A587" s="1" t="s">
        <v>112</v>
      </c>
      <c r="B587" s="1" t="str">
        <f t="shared" si="24"/>
        <v>IDBI Bank</v>
      </c>
      <c r="C587">
        <v>249</v>
      </c>
      <c r="D587">
        <v>0</v>
      </c>
      <c r="E587">
        <v>1030</v>
      </c>
      <c r="F587" s="2">
        <v>331667.31</v>
      </c>
      <c r="G587" s="2">
        <v>0</v>
      </c>
      <c r="H587" s="2">
        <v>331667.31</v>
      </c>
      <c r="I587" s="2">
        <v>295557.31</v>
      </c>
      <c r="J587" s="2">
        <v>36110</v>
      </c>
      <c r="K587" s="3">
        <v>25277</v>
      </c>
      <c r="L587" s="3">
        <v>10833</v>
      </c>
      <c r="M587" s="3">
        <v>0</v>
      </c>
      <c r="N587" s="4" t="s">
        <v>117</v>
      </c>
      <c r="O587" s="3" t="str">
        <f t="shared" si="25"/>
        <v>Offline - F&amp;B</v>
      </c>
      <c r="P587" s="11">
        <v>7686000</v>
      </c>
      <c r="Q587" s="3">
        <v>4830800000</v>
      </c>
      <c r="R587" s="3">
        <v>3093600000</v>
      </c>
      <c r="S587" s="11">
        <v>11600000</v>
      </c>
    </row>
    <row r="588" spans="1:19" x14ac:dyDescent="0.35">
      <c r="A588" s="1" t="s">
        <v>87</v>
      </c>
      <c r="B588" s="1" t="str">
        <f t="shared" si="24"/>
        <v>J&amp;K Bank</v>
      </c>
      <c r="C588">
        <v>16</v>
      </c>
      <c r="D588">
        <v>0</v>
      </c>
      <c r="E588">
        <v>39</v>
      </c>
      <c r="F588" s="2">
        <v>17942.560000000001</v>
      </c>
      <c r="G588" s="2">
        <v>15650</v>
      </c>
      <c r="H588" s="2">
        <v>0</v>
      </c>
      <c r="I588" s="2">
        <v>10656.56</v>
      </c>
      <c r="J588" s="2">
        <v>7250</v>
      </c>
      <c r="K588" s="3">
        <v>7250</v>
      </c>
      <c r="L588" s="3">
        <v>0</v>
      </c>
      <c r="M588" s="3">
        <v>2232.56</v>
      </c>
      <c r="N588" s="4" t="s">
        <v>117</v>
      </c>
      <c r="O588" s="3" t="str">
        <f t="shared" si="25"/>
        <v>Online</v>
      </c>
      <c r="P588" s="11">
        <v>7686000</v>
      </c>
      <c r="Q588" s="3">
        <v>4830800000</v>
      </c>
      <c r="R588" s="3">
        <v>3093600000</v>
      </c>
      <c r="S588" s="11">
        <v>11600000</v>
      </c>
    </row>
    <row r="589" spans="1:19" x14ac:dyDescent="0.35">
      <c r="A589" s="1" t="s">
        <v>75</v>
      </c>
      <c r="B589" s="1" t="str">
        <f t="shared" si="24"/>
        <v>J&amp;K Bank</v>
      </c>
      <c r="C589">
        <v>24</v>
      </c>
      <c r="D589">
        <v>0</v>
      </c>
      <c r="E589">
        <v>68</v>
      </c>
      <c r="F589" s="2">
        <v>29596.46</v>
      </c>
      <c r="G589" s="2">
        <v>24880</v>
      </c>
      <c r="H589" s="2">
        <v>1230</v>
      </c>
      <c r="I589" s="2">
        <v>18414.46</v>
      </c>
      <c r="J589" s="2">
        <v>11130</v>
      </c>
      <c r="K589" s="3">
        <v>10573.5</v>
      </c>
      <c r="L589" s="3">
        <v>556.5</v>
      </c>
      <c r="M589" s="3">
        <v>3418.46</v>
      </c>
      <c r="N589" s="4" t="s">
        <v>117</v>
      </c>
      <c r="O589" s="3" t="str">
        <f t="shared" si="25"/>
        <v>Online</v>
      </c>
      <c r="P589" s="11">
        <v>7686000</v>
      </c>
      <c r="Q589" s="3">
        <v>4830800000</v>
      </c>
      <c r="R589" s="3">
        <v>3093600000</v>
      </c>
      <c r="S589" s="11">
        <v>11600000</v>
      </c>
    </row>
    <row r="590" spans="1:19" x14ac:dyDescent="0.35">
      <c r="A590" s="1" t="s">
        <v>98</v>
      </c>
      <c r="B590" s="1" t="str">
        <f t="shared" si="24"/>
        <v>J&amp;K Bank</v>
      </c>
      <c r="C590">
        <v>30</v>
      </c>
      <c r="D590">
        <v>0</v>
      </c>
      <c r="E590">
        <v>75</v>
      </c>
      <c r="F590" s="2">
        <v>32668.04</v>
      </c>
      <c r="G590" s="2">
        <v>28350</v>
      </c>
      <c r="H590" s="2">
        <v>0</v>
      </c>
      <c r="I590" s="2">
        <v>19066.04</v>
      </c>
      <c r="J590" s="2">
        <v>13550</v>
      </c>
      <c r="K590" s="3">
        <v>13550</v>
      </c>
      <c r="L590" s="3">
        <v>0</v>
      </c>
      <c r="M590" s="3">
        <v>4222.04</v>
      </c>
      <c r="N590" s="4" t="s">
        <v>117</v>
      </c>
      <c r="O590" s="3" t="str">
        <f t="shared" si="25"/>
        <v>Other</v>
      </c>
      <c r="P590" s="11">
        <v>7686000</v>
      </c>
      <c r="Q590" s="3">
        <v>4830800000</v>
      </c>
      <c r="R590" s="3">
        <v>3093600000</v>
      </c>
      <c r="S590" s="11">
        <v>11600000</v>
      </c>
    </row>
    <row r="591" spans="1:19" x14ac:dyDescent="0.35">
      <c r="A591" s="1" t="s">
        <v>77</v>
      </c>
      <c r="B591" s="1" t="str">
        <f t="shared" si="24"/>
        <v>J&amp;K Bank</v>
      </c>
      <c r="C591">
        <v>117</v>
      </c>
      <c r="D591">
        <v>0</v>
      </c>
      <c r="E591">
        <v>357</v>
      </c>
      <c r="F591" s="2">
        <v>138972.04</v>
      </c>
      <c r="G591" s="2">
        <v>121396</v>
      </c>
      <c r="H591" s="2">
        <v>420</v>
      </c>
      <c r="I591" s="2">
        <v>84799.039999999994</v>
      </c>
      <c r="J591" s="2">
        <v>53983</v>
      </c>
      <c r="K591" s="3">
        <v>51283.85</v>
      </c>
      <c r="L591" s="3">
        <v>2699.15</v>
      </c>
      <c r="M591" s="3">
        <v>16848.04</v>
      </c>
      <c r="N591" s="4" t="s">
        <v>117</v>
      </c>
      <c r="O591" s="3" t="str">
        <f t="shared" si="25"/>
        <v>Online</v>
      </c>
      <c r="P591" s="11">
        <v>7686000</v>
      </c>
      <c r="Q591" s="3">
        <v>4830800000</v>
      </c>
      <c r="R591" s="3">
        <v>3093600000</v>
      </c>
      <c r="S591" s="11">
        <v>11600000</v>
      </c>
    </row>
    <row r="592" spans="1:19" x14ac:dyDescent="0.35">
      <c r="A592" s="1" t="s">
        <v>51</v>
      </c>
      <c r="B592" s="1" t="str">
        <f t="shared" si="24"/>
        <v>Kotak Mahindra Bank</v>
      </c>
      <c r="C592">
        <v>65</v>
      </c>
      <c r="D592">
        <v>0</v>
      </c>
      <c r="E592">
        <v>149</v>
      </c>
      <c r="F592" s="2">
        <v>119343.82</v>
      </c>
      <c r="G592" s="2">
        <v>108299</v>
      </c>
      <c r="H592" s="2">
        <v>1113</v>
      </c>
      <c r="I592" s="2">
        <v>96940.82</v>
      </c>
      <c r="J592" s="2">
        <v>22239</v>
      </c>
      <c r="K592" s="3">
        <v>17791.2</v>
      </c>
      <c r="L592" s="3">
        <v>4447.8</v>
      </c>
      <c r="M592" s="3">
        <v>9737.82</v>
      </c>
      <c r="N592" s="4" t="s">
        <v>117</v>
      </c>
      <c r="O592" s="3" t="str">
        <f t="shared" si="25"/>
        <v>Online</v>
      </c>
      <c r="P592" s="11">
        <v>7686000</v>
      </c>
      <c r="Q592" s="3">
        <v>4830800000</v>
      </c>
      <c r="R592" s="3">
        <v>3093600000</v>
      </c>
      <c r="S592" s="11">
        <v>11600000</v>
      </c>
    </row>
    <row r="593" spans="1:19" x14ac:dyDescent="0.35">
      <c r="A593" s="1" t="s">
        <v>52</v>
      </c>
      <c r="B593" s="1" t="str">
        <f t="shared" si="24"/>
        <v>Kotak Mahindra Bank</v>
      </c>
      <c r="C593">
        <v>22</v>
      </c>
      <c r="D593">
        <v>22</v>
      </c>
      <c r="E593">
        <v>48</v>
      </c>
      <c r="F593" s="2">
        <v>44448.42</v>
      </c>
      <c r="G593" s="2">
        <v>41078</v>
      </c>
      <c r="H593" s="2">
        <v>0</v>
      </c>
      <c r="I593" s="2">
        <v>29453.42</v>
      </c>
      <c r="J593" s="2">
        <v>14959</v>
      </c>
      <c r="K593" s="3">
        <v>14959</v>
      </c>
      <c r="L593" s="3">
        <v>0</v>
      </c>
      <c r="M593" s="3">
        <v>3326.42</v>
      </c>
      <c r="N593" s="4" t="s">
        <v>117</v>
      </c>
      <c r="O593" s="3" t="str">
        <f t="shared" si="25"/>
        <v>Online</v>
      </c>
      <c r="P593" s="11">
        <v>7686000</v>
      </c>
      <c r="Q593" s="3">
        <v>4830800000</v>
      </c>
      <c r="R593" s="3">
        <v>3093600000</v>
      </c>
      <c r="S593" s="11">
        <v>11600000</v>
      </c>
    </row>
    <row r="594" spans="1:19" x14ac:dyDescent="0.35">
      <c r="A594" s="1" t="s">
        <v>38</v>
      </c>
      <c r="B594" s="1" t="str">
        <f t="shared" si="24"/>
        <v>Kotak Mahindra Bank</v>
      </c>
      <c r="C594">
        <v>15568</v>
      </c>
      <c r="D594">
        <v>0</v>
      </c>
      <c r="E594">
        <v>37605</v>
      </c>
      <c r="F594" s="2">
        <v>9900716.9700000007</v>
      </c>
      <c r="G594" s="2">
        <v>453308.21</v>
      </c>
      <c r="H594" s="2">
        <v>9442922.5999999996</v>
      </c>
      <c r="I594" s="2">
        <v>7927548.9699999997</v>
      </c>
      <c r="J594" s="2">
        <v>1973092</v>
      </c>
      <c r="K594" s="3">
        <v>0</v>
      </c>
      <c r="L594" s="3">
        <v>1973092</v>
      </c>
      <c r="M594" s="3">
        <v>4380.16</v>
      </c>
      <c r="N594" s="4" t="s">
        <v>117</v>
      </c>
      <c r="O594" s="3" t="str">
        <f t="shared" si="25"/>
        <v>Other</v>
      </c>
      <c r="P594" s="11">
        <v>7686000</v>
      </c>
      <c r="Q594" s="3">
        <v>4830800000</v>
      </c>
      <c r="R594" s="3">
        <v>3093600000</v>
      </c>
      <c r="S594" s="11">
        <v>11600000</v>
      </c>
    </row>
    <row r="595" spans="1:19" x14ac:dyDescent="0.35">
      <c r="A595" s="1" t="s">
        <v>58</v>
      </c>
      <c r="B595" s="1" t="str">
        <f t="shared" si="24"/>
        <v>Kotak Mahindra Bank</v>
      </c>
      <c r="C595">
        <v>3827</v>
      </c>
      <c r="D595">
        <v>0</v>
      </c>
      <c r="E595">
        <v>8987</v>
      </c>
      <c r="F595" s="2">
        <v>2581173.59</v>
      </c>
      <c r="G595" s="2">
        <v>2481255.4500000002</v>
      </c>
      <c r="H595" s="2">
        <v>0</v>
      </c>
      <c r="I595" s="2">
        <v>2481036.54</v>
      </c>
      <c r="J595" s="2">
        <v>98999</v>
      </c>
      <c r="K595" s="3">
        <v>0</v>
      </c>
      <c r="L595" s="3">
        <v>98999</v>
      </c>
      <c r="M595" s="3">
        <v>98372.14</v>
      </c>
      <c r="N595" s="4" t="s">
        <v>117</v>
      </c>
      <c r="O595" s="3" t="str">
        <f t="shared" si="25"/>
        <v>Other</v>
      </c>
      <c r="P595" s="11">
        <v>7686000</v>
      </c>
      <c r="Q595" s="3">
        <v>4830800000</v>
      </c>
      <c r="R595" s="3">
        <v>3093600000</v>
      </c>
      <c r="S595" s="11">
        <v>11600000</v>
      </c>
    </row>
    <row r="596" spans="1:19" x14ac:dyDescent="0.35">
      <c r="A596" s="1" t="s">
        <v>114</v>
      </c>
      <c r="B596" s="1" t="str">
        <f t="shared" si="24"/>
        <v>State Bank of India</v>
      </c>
      <c r="C596">
        <v>2602</v>
      </c>
      <c r="D596">
        <v>0</v>
      </c>
      <c r="E596">
        <v>9846</v>
      </c>
      <c r="F596" s="2">
        <v>3143415.11</v>
      </c>
      <c r="G596" s="2">
        <v>3143415.11</v>
      </c>
      <c r="H596" s="2">
        <v>0</v>
      </c>
      <c r="I596" s="2">
        <v>2907616.11</v>
      </c>
      <c r="J596" s="2">
        <v>235799</v>
      </c>
      <c r="K596" s="3">
        <v>188639.2</v>
      </c>
      <c r="L596" s="3">
        <v>47159.8</v>
      </c>
      <c r="M596" s="3">
        <v>0</v>
      </c>
      <c r="N596" s="4" t="s">
        <v>117</v>
      </c>
      <c r="O596" s="3" t="str">
        <f t="shared" si="25"/>
        <v>Offline - Box Office</v>
      </c>
      <c r="P596" s="11">
        <v>7686000</v>
      </c>
      <c r="Q596" s="3">
        <v>4830800000</v>
      </c>
      <c r="R596" s="3">
        <v>3093600000</v>
      </c>
      <c r="S596" s="11">
        <v>11600000</v>
      </c>
    </row>
    <row r="597" spans="1:19" x14ac:dyDescent="0.35">
      <c r="A597" s="1" t="s">
        <v>115</v>
      </c>
      <c r="B597" s="1" t="str">
        <f t="shared" si="24"/>
        <v>State Bank of India</v>
      </c>
      <c r="C597">
        <v>4892</v>
      </c>
      <c r="D597">
        <v>0</v>
      </c>
      <c r="E597">
        <v>17843</v>
      </c>
      <c r="F597" s="2">
        <v>5468292.04</v>
      </c>
      <c r="G597" s="2">
        <v>0</v>
      </c>
      <c r="H597" s="2">
        <v>5468292.04</v>
      </c>
      <c r="I597" s="2">
        <v>5031878.04</v>
      </c>
      <c r="J597" s="2">
        <v>436414</v>
      </c>
      <c r="K597" s="3">
        <v>349131.2</v>
      </c>
      <c r="L597" s="3">
        <v>87282.8</v>
      </c>
      <c r="M597" s="3">
        <v>0</v>
      </c>
      <c r="N597" s="4" t="s">
        <v>117</v>
      </c>
      <c r="O597" s="3" t="str">
        <f t="shared" si="25"/>
        <v>Offline - F&amp;B</v>
      </c>
      <c r="P597" s="11">
        <v>7686000</v>
      </c>
      <c r="Q597" s="3">
        <v>4830800000</v>
      </c>
      <c r="R597" s="3">
        <v>3093600000</v>
      </c>
      <c r="S597" s="11">
        <v>11600000</v>
      </c>
    </row>
    <row r="598" spans="1:19" x14ac:dyDescent="0.35">
      <c r="A598" s="1" t="s">
        <v>40</v>
      </c>
      <c r="B598" s="1" t="str">
        <f t="shared" si="24"/>
        <v>Standard Chartered Bank</v>
      </c>
      <c r="C598">
        <v>15</v>
      </c>
      <c r="D598">
        <v>15</v>
      </c>
      <c r="E598">
        <v>39</v>
      </c>
      <c r="F598" s="2">
        <v>10948</v>
      </c>
      <c r="G598" s="2">
        <v>10948</v>
      </c>
      <c r="H598" s="2">
        <v>0</v>
      </c>
      <c r="I598" s="2">
        <v>8068</v>
      </c>
      <c r="J598" s="2">
        <v>2880</v>
      </c>
      <c r="K598" s="3">
        <v>2880</v>
      </c>
      <c r="L598" s="3">
        <v>0</v>
      </c>
      <c r="M598" s="3">
        <v>0</v>
      </c>
      <c r="N598" s="4" t="s">
        <v>117</v>
      </c>
      <c r="O598" s="3" t="str">
        <f t="shared" si="25"/>
        <v>Offline - Box Office</v>
      </c>
      <c r="P598" s="11">
        <v>7686000</v>
      </c>
      <c r="Q598" s="3">
        <v>4830800000</v>
      </c>
      <c r="R598" s="3">
        <v>3093600000</v>
      </c>
      <c r="S598" s="11">
        <v>11600000</v>
      </c>
    </row>
    <row r="599" spans="1:19" x14ac:dyDescent="0.35">
      <c r="A599" s="1" t="s">
        <v>41</v>
      </c>
      <c r="B599" s="1" t="str">
        <f t="shared" ref="B599:B662" si="26">IF(ISNUMBER(SEARCH("AXIS",A599)),"Axis Bank",
IF(ISNUMBER(SEARCH("HDFC",A599)),"HDFC Bank",
IF(ISNUMBER(SEARCH("ICICI",A599)),"ICICI Bank",
IF(ISNUMBER(SEARCH("AU",A599)),"AU Bank",
IF(ISNUMBER(SEARCH("KOTAK",A599)),"Kotak Mahindra Bank",
IF(ISNUMBER(SEARCH("SBI",A599)),"State Bank of India",
IF(ISNUMBER(SEARCH("HSBC",A599)),"HSBC",
IF(ISNUMBER(SEARCH("DBS",A599)),"DBS Bank",
IF(ISNUMBER(SEARCH("SCAPIA",A599)),"Scapia",
IF(ISNUMBER(SEARCH("STANDARD CHARTERED",A599)),"Standard Chartered Bank",
IF(ISNUMBER(SEARCH("IDBI",A599)),"IDBI Bank",
IF(ISNUMBER(SEARCH("J&amp;K",A599)),"J&amp;K Bank",
IF(ISNUMBER(SEARCH("JAMMU",A599)),"J&amp;K Bank",
IF(ISNUMBER(SEARCH("FEDERAL",A599)),"Federal Bank",
IF(ISNUMBER(SEARCH("BOBCARD",A599)),"BOB Card",
IF(ISNUMBER(SEARCH("BANK OF BARODA",A599)),"BOB Card",
IF(ISNUMBER(SEARCH("AMEX",A599)),"American Express",
IF(ISNUMBER(SEARCH("PLATINUM",A599)),"American Express",
IF(ISNUMBER(SEARCH("CENTURION",A599)),"American Express",
IF(ISNUMBER(SEARCH("VISA",A599)),"Visa",
IF(ISNUMBER(SEARCH("MASTERCARD",A599)),"Mastercard",
"")))))))))))))))))))))</f>
        <v>Standard Chartered Bank</v>
      </c>
      <c r="C599">
        <v>82</v>
      </c>
      <c r="D599">
        <v>82</v>
      </c>
      <c r="E599">
        <v>187</v>
      </c>
      <c r="F599" s="2">
        <v>54347.74</v>
      </c>
      <c r="G599" s="2">
        <v>47422.76</v>
      </c>
      <c r="H599" s="2">
        <v>0</v>
      </c>
      <c r="I599" s="2">
        <v>38229.74</v>
      </c>
      <c r="J599" s="2">
        <v>16006</v>
      </c>
      <c r="K599" s="3">
        <v>16006</v>
      </c>
      <c r="L599" s="3">
        <v>0</v>
      </c>
      <c r="M599" s="3">
        <v>6780.98</v>
      </c>
      <c r="N599" s="4" t="s">
        <v>117</v>
      </c>
      <c r="O599" s="3" t="str">
        <f t="shared" si="25"/>
        <v>Online</v>
      </c>
      <c r="P599" s="11">
        <v>7686000</v>
      </c>
      <c r="Q599" s="3">
        <v>4830800000</v>
      </c>
      <c r="R599" s="3">
        <v>3093600000</v>
      </c>
      <c r="S599" s="11">
        <v>11600000</v>
      </c>
    </row>
    <row r="600" spans="1:19" x14ac:dyDescent="0.35">
      <c r="A600" s="1" t="s">
        <v>106</v>
      </c>
      <c r="B600" s="1" t="str">
        <f t="shared" si="26"/>
        <v>Visa</v>
      </c>
      <c r="C600">
        <v>1989</v>
      </c>
      <c r="D600">
        <v>0</v>
      </c>
      <c r="E600">
        <v>14297</v>
      </c>
      <c r="F600" s="2">
        <v>5065360.99</v>
      </c>
      <c r="G600" s="2">
        <v>0</v>
      </c>
      <c r="H600" s="2">
        <v>5065360.99</v>
      </c>
      <c r="I600" s="2">
        <v>4667560.99</v>
      </c>
      <c r="J600" s="2">
        <v>397800</v>
      </c>
      <c r="K600" s="3">
        <v>397800</v>
      </c>
      <c r="L600" s="3">
        <v>0</v>
      </c>
      <c r="M600" s="3">
        <v>0</v>
      </c>
      <c r="N600" s="4" t="s">
        <v>117</v>
      </c>
      <c r="O600" s="3" t="str">
        <f t="shared" si="25"/>
        <v>Offline - F&amp;B</v>
      </c>
      <c r="P600" s="11">
        <v>7686000</v>
      </c>
      <c r="Q600" s="3">
        <v>4830800000</v>
      </c>
      <c r="R600" s="3">
        <v>3093600000</v>
      </c>
      <c r="S600" s="11">
        <v>11600000</v>
      </c>
    </row>
    <row r="601" spans="1:19" x14ac:dyDescent="0.35">
      <c r="A601" s="1" t="s">
        <v>107</v>
      </c>
      <c r="B601" s="1" t="str">
        <f t="shared" si="26"/>
        <v>Visa</v>
      </c>
      <c r="C601">
        <v>648</v>
      </c>
      <c r="D601">
        <v>0</v>
      </c>
      <c r="E601">
        <v>2467</v>
      </c>
      <c r="F601" s="2">
        <v>968924.24</v>
      </c>
      <c r="G601" s="2">
        <v>968924.24</v>
      </c>
      <c r="H601" s="2">
        <v>0</v>
      </c>
      <c r="I601" s="2">
        <v>968278.24</v>
      </c>
      <c r="J601" s="2">
        <v>646</v>
      </c>
      <c r="K601" s="3">
        <v>646</v>
      </c>
      <c r="L601" s="3">
        <v>0</v>
      </c>
      <c r="M601" s="3">
        <v>0</v>
      </c>
      <c r="N601" s="4" t="s">
        <v>117</v>
      </c>
      <c r="O601" s="3" t="str">
        <f t="shared" si="25"/>
        <v>Other</v>
      </c>
      <c r="P601" s="11">
        <v>7686000</v>
      </c>
      <c r="Q601" s="3">
        <v>4830800000</v>
      </c>
      <c r="R601" s="3">
        <v>3093600000</v>
      </c>
      <c r="S601" s="11">
        <v>11600000</v>
      </c>
    </row>
    <row r="602" spans="1:19" x14ac:dyDescent="0.35">
      <c r="A602" s="1" t="s">
        <v>108</v>
      </c>
      <c r="B602" s="1" t="str">
        <f t="shared" si="26"/>
        <v>Visa</v>
      </c>
      <c r="C602">
        <v>12594</v>
      </c>
      <c r="D602">
        <v>0</v>
      </c>
      <c r="E602">
        <v>30430</v>
      </c>
      <c r="F602" s="2">
        <v>8830614.3800000008</v>
      </c>
      <c r="G602" s="2">
        <v>0</v>
      </c>
      <c r="H602" s="2">
        <v>8830614.3800000008</v>
      </c>
      <c r="I602" s="2">
        <v>7082889.3799999999</v>
      </c>
      <c r="J602" s="2">
        <v>1747725</v>
      </c>
      <c r="K602" s="3">
        <v>1747725</v>
      </c>
      <c r="L602" s="3">
        <v>0</v>
      </c>
      <c r="M602" s="3">
        <v>0</v>
      </c>
      <c r="N602" s="4" t="s">
        <v>117</v>
      </c>
      <c r="O602" s="3" t="str">
        <f t="shared" si="25"/>
        <v>Offline - F&amp;B</v>
      </c>
      <c r="P602" s="11">
        <v>7686000</v>
      </c>
      <c r="Q602" s="3">
        <v>4830800000</v>
      </c>
      <c r="R602" s="3">
        <v>3093600000</v>
      </c>
      <c r="S602" s="11">
        <v>11600000</v>
      </c>
    </row>
    <row r="603" spans="1:19" x14ac:dyDescent="0.35">
      <c r="A603" s="1" t="s">
        <v>116</v>
      </c>
      <c r="B603" s="1" t="str">
        <f t="shared" si="26"/>
        <v>ICICI Bank</v>
      </c>
      <c r="C603">
        <v>2647</v>
      </c>
      <c r="D603">
        <v>0</v>
      </c>
      <c r="E603">
        <v>7692</v>
      </c>
      <c r="F603" s="2">
        <v>2516743.2400000002</v>
      </c>
      <c r="G603" s="2">
        <v>0</v>
      </c>
      <c r="H603" s="2">
        <v>2516743.2400000002</v>
      </c>
      <c r="I603" s="2">
        <v>2018474.24</v>
      </c>
      <c r="J603" s="2">
        <v>498269</v>
      </c>
      <c r="K603" s="3">
        <v>473355.55</v>
      </c>
      <c r="L603" s="3">
        <v>24913.45</v>
      </c>
      <c r="M603" s="3">
        <v>0</v>
      </c>
      <c r="N603" s="4" t="s">
        <v>118</v>
      </c>
      <c r="O603" s="3" t="str">
        <f t="shared" si="25"/>
        <v>Offline - F&amp;B</v>
      </c>
      <c r="P603" s="11">
        <v>10700000</v>
      </c>
      <c r="Q603" s="3">
        <v>6556700000</v>
      </c>
      <c r="R603" s="3">
        <v>4323100000</v>
      </c>
      <c r="S603" s="11">
        <v>16300000</v>
      </c>
    </row>
    <row r="604" spans="1:19" x14ac:dyDescent="0.35">
      <c r="A604" s="1" t="s">
        <v>91</v>
      </c>
      <c r="B604" s="1" t="str">
        <f t="shared" si="26"/>
        <v>American Express</v>
      </c>
      <c r="C604">
        <v>478</v>
      </c>
      <c r="D604">
        <v>478</v>
      </c>
      <c r="E604">
        <v>1343</v>
      </c>
      <c r="F604" s="2">
        <v>664580.79</v>
      </c>
      <c r="G604" s="2">
        <v>664580.79</v>
      </c>
      <c r="H604" s="2">
        <v>0</v>
      </c>
      <c r="I604" s="2">
        <v>481311.82</v>
      </c>
      <c r="J604" s="2">
        <v>183268.97</v>
      </c>
      <c r="K604" s="3">
        <v>91634.5</v>
      </c>
      <c r="L604" s="3">
        <v>91634.5</v>
      </c>
      <c r="M604" s="3">
        <v>0</v>
      </c>
      <c r="N604" s="4" t="s">
        <v>118</v>
      </c>
      <c r="O604" s="3" t="str">
        <f t="shared" si="25"/>
        <v>Offline - Box Office</v>
      </c>
      <c r="P604" s="11">
        <v>10700000</v>
      </c>
      <c r="Q604" s="3">
        <v>6556700000</v>
      </c>
      <c r="R604" s="3">
        <v>4323100000</v>
      </c>
      <c r="S604" s="11">
        <v>16300000</v>
      </c>
    </row>
    <row r="605" spans="1:19" x14ac:dyDescent="0.35">
      <c r="A605" s="1" t="s">
        <v>93</v>
      </c>
      <c r="B605" s="1" t="str">
        <f t="shared" si="26"/>
        <v>American Express</v>
      </c>
      <c r="C605">
        <v>2202</v>
      </c>
      <c r="D605">
        <v>2202</v>
      </c>
      <c r="E605">
        <v>5630</v>
      </c>
      <c r="F605" s="2">
        <v>3429314.68</v>
      </c>
      <c r="G605" s="2">
        <v>3071586.32</v>
      </c>
      <c r="H605" s="2">
        <v>32982</v>
      </c>
      <c r="I605" s="2">
        <v>2508212.7000000002</v>
      </c>
      <c r="J605" s="2">
        <v>921101.98</v>
      </c>
      <c r="K605" s="3">
        <v>460551.13</v>
      </c>
      <c r="L605" s="3">
        <v>460551.13</v>
      </c>
      <c r="M605" s="3">
        <v>318030.36</v>
      </c>
      <c r="N605" s="4" t="s">
        <v>118</v>
      </c>
      <c r="O605" s="3" t="str">
        <f t="shared" si="25"/>
        <v>Online</v>
      </c>
      <c r="P605" s="11">
        <v>10700000</v>
      </c>
      <c r="Q605" s="3">
        <v>6556700000</v>
      </c>
      <c r="R605" s="3">
        <v>4323100000</v>
      </c>
      <c r="S605" s="11">
        <v>16300000</v>
      </c>
    </row>
    <row r="606" spans="1:19" x14ac:dyDescent="0.35">
      <c r="A606" s="1" t="s">
        <v>43</v>
      </c>
      <c r="B606" s="1" t="str">
        <f t="shared" si="26"/>
        <v>Axis Bank</v>
      </c>
      <c r="C606">
        <v>23</v>
      </c>
      <c r="D606">
        <v>23</v>
      </c>
      <c r="E606">
        <v>70</v>
      </c>
      <c r="F606" s="2">
        <v>18818.2</v>
      </c>
      <c r="G606" s="2">
        <v>18818.2</v>
      </c>
      <c r="H606" s="2">
        <v>0</v>
      </c>
      <c r="I606" s="2">
        <v>14401.4</v>
      </c>
      <c r="J606" s="2">
        <v>4416.8</v>
      </c>
      <c r="K606" s="3">
        <v>3886.78</v>
      </c>
      <c r="L606" s="3">
        <v>530.02</v>
      </c>
      <c r="M606" s="3">
        <v>0</v>
      </c>
      <c r="N606" s="4" t="s">
        <v>118</v>
      </c>
      <c r="O606" s="3" t="str">
        <f t="shared" si="25"/>
        <v>Offline - Box Office</v>
      </c>
      <c r="P606" s="11">
        <v>10700000</v>
      </c>
      <c r="Q606" s="3">
        <v>6556700000</v>
      </c>
      <c r="R606" s="3">
        <v>4323100000</v>
      </c>
      <c r="S606" s="11">
        <v>16300000</v>
      </c>
    </row>
    <row r="607" spans="1:19" x14ac:dyDescent="0.35">
      <c r="A607" s="1" t="s">
        <v>23</v>
      </c>
      <c r="B607" s="1" t="str">
        <f t="shared" si="26"/>
        <v>Axis Bank</v>
      </c>
      <c r="C607">
        <v>32</v>
      </c>
      <c r="D607">
        <v>32</v>
      </c>
      <c r="E607">
        <v>85</v>
      </c>
      <c r="F607" s="2">
        <v>30836</v>
      </c>
      <c r="G607" s="2">
        <v>27440.2</v>
      </c>
      <c r="H607" s="2">
        <v>0</v>
      </c>
      <c r="I607" s="2">
        <v>24799.96</v>
      </c>
      <c r="J607" s="2">
        <v>6036.04</v>
      </c>
      <c r="K607" s="3">
        <v>5130.63</v>
      </c>
      <c r="L607" s="3">
        <v>905.41</v>
      </c>
      <c r="M607" s="3">
        <v>3315.8</v>
      </c>
      <c r="N607" s="4" t="s">
        <v>118</v>
      </c>
      <c r="O607" s="3" t="str">
        <f t="shared" si="25"/>
        <v>Online</v>
      </c>
      <c r="P607" s="11">
        <v>10700000</v>
      </c>
      <c r="Q607" s="3">
        <v>6556700000</v>
      </c>
      <c r="R607" s="3">
        <v>4323100000</v>
      </c>
      <c r="S607" s="11">
        <v>16300000</v>
      </c>
    </row>
    <row r="608" spans="1:19" x14ac:dyDescent="0.35">
      <c r="A608" s="1" t="s">
        <v>44</v>
      </c>
      <c r="B608" s="1" t="str">
        <f t="shared" si="26"/>
        <v>Axis Bank</v>
      </c>
      <c r="C608">
        <v>286</v>
      </c>
      <c r="D608">
        <v>286</v>
      </c>
      <c r="E608">
        <v>744</v>
      </c>
      <c r="F608" s="2">
        <v>187279.93</v>
      </c>
      <c r="G608" s="2">
        <v>187279.93</v>
      </c>
      <c r="H608" s="2">
        <v>0</v>
      </c>
      <c r="I608" s="2">
        <v>133493.71</v>
      </c>
      <c r="J608" s="2">
        <v>53786.22</v>
      </c>
      <c r="K608" s="3">
        <v>47331.79</v>
      </c>
      <c r="L608" s="3">
        <v>6454.43</v>
      </c>
      <c r="M608" s="3">
        <v>0</v>
      </c>
      <c r="N608" s="4" t="s">
        <v>118</v>
      </c>
      <c r="O608" s="3" t="str">
        <f t="shared" si="25"/>
        <v>Offline - Box Office</v>
      </c>
      <c r="P608" s="11">
        <v>10700000</v>
      </c>
      <c r="Q608" s="3">
        <v>6556700000</v>
      </c>
      <c r="R608" s="3">
        <v>4323100000</v>
      </c>
      <c r="S608" s="11">
        <v>16300000</v>
      </c>
    </row>
    <row r="609" spans="1:19" x14ac:dyDescent="0.35">
      <c r="A609" s="1" t="s">
        <v>24</v>
      </c>
      <c r="B609" s="1" t="str">
        <f t="shared" si="26"/>
        <v>Axis Bank</v>
      </c>
      <c r="C609">
        <v>1037</v>
      </c>
      <c r="D609">
        <v>1037</v>
      </c>
      <c r="E609">
        <v>2360</v>
      </c>
      <c r="F609" s="2">
        <v>670882.17000000004</v>
      </c>
      <c r="G609" s="2">
        <v>583401.27</v>
      </c>
      <c r="H609" s="2">
        <v>4260</v>
      </c>
      <c r="I609" s="2">
        <v>475245.58</v>
      </c>
      <c r="J609" s="2">
        <v>195636.59</v>
      </c>
      <c r="K609" s="3">
        <v>166291.07</v>
      </c>
      <c r="L609" s="3">
        <v>29345.52</v>
      </c>
      <c r="M609" s="3">
        <v>81464.899999999994</v>
      </c>
      <c r="N609" s="4" t="s">
        <v>118</v>
      </c>
      <c r="O609" s="3" t="str">
        <f t="shared" si="25"/>
        <v>Online</v>
      </c>
      <c r="P609" s="11">
        <v>10700000</v>
      </c>
      <c r="Q609" s="3">
        <v>6556700000</v>
      </c>
      <c r="R609" s="3">
        <v>4323100000</v>
      </c>
      <c r="S609" s="11">
        <v>16300000</v>
      </c>
    </row>
    <row r="610" spans="1:19" x14ac:dyDescent="0.35">
      <c r="A610" s="1" t="s">
        <v>54</v>
      </c>
      <c r="B610" s="1" t="str">
        <f t="shared" si="26"/>
        <v>BOB Card</v>
      </c>
      <c r="C610">
        <v>49</v>
      </c>
      <c r="D610">
        <v>0</v>
      </c>
      <c r="E610">
        <v>91</v>
      </c>
      <c r="F610" s="2">
        <v>50274.44</v>
      </c>
      <c r="G610" s="2">
        <v>40874.959999999999</v>
      </c>
      <c r="H610" s="2">
        <v>8330</v>
      </c>
      <c r="I610" s="2">
        <v>46088.44</v>
      </c>
      <c r="J610" s="2">
        <v>4186</v>
      </c>
      <c r="K610" s="3">
        <v>2930.2</v>
      </c>
      <c r="L610" s="3">
        <v>1255.8</v>
      </c>
      <c r="M610" s="3">
        <v>1045.48</v>
      </c>
      <c r="N610" s="4" t="s">
        <v>118</v>
      </c>
      <c r="O610" s="3" t="str">
        <f t="shared" si="25"/>
        <v>Online</v>
      </c>
      <c r="P610" s="11">
        <v>10700000</v>
      </c>
      <c r="Q610" s="3">
        <v>6556700000</v>
      </c>
      <c r="R610" s="3">
        <v>4323100000</v>
      </c>
      <c r="S610" s="11">
        <v>16300000</v>
      </c>
    </row>
    <row r="611" spans="1:19" x14ac:dyDescent="0.35">
      <c r="A611" s="1" t="s">
        <v>55</v>
      </c>
      <c r="B611" s="1" t="str">
        <f t="shared" si="26"/>
        <v>BOB Card</v>
      </c>
      <c r="C611">
        <v>794</v>
      </c>
      <c r="D611">
        <v>0</v>
      </c>
      <c r="E611">
        <v>2327</v>
      </c>
      <c r="F611" s="2">
        <v>747085.85</v>
      </c>
      <c r="G611" s="2">
        <v>0</v>
      </c>
      <c r="H611" s="2">
        <v>747085.85</v>
      </c>
      <c r="I611" s="2">
        <v>673964.85</v>
      </c>
      <c r="J611" s="2">
        <v>73121</v>
      </c>
      <c r="K611" s="3">
        <v>51184.7</v>
      </c>
      <c r="L611" s="3">
        <v>21936.3</v>
      </c>
      <c r="M611" s="3">
        <v>0</v>
      </c>
      <c r="N611" s="4" t="s">
        <v>118</v>
      </c>
      <c r="O611" s="3" t="str">
        <f t="shared" si="25"/>
        <v>Offline - F&amp;B</v>
      </c>
      <c r="P611" s="11">
        <v>10700000</v>
      </c>
      <c r="Q611" s="3">
        <v>6556700000</v>
      </c>
      <c r="R611" s="3">
        <v>4323100000</v>
      </c>
      <c r="S611" s="11">
        <v>16300000</v>
      </c>
    </row>
    <row r="612" spans="1:19" x14ac:dyDescent="0.35">
      <c r="A612" s="1" t="s">
        <v>119</v>
      </c>
      <c r="B612" s="1" t="str">
        <f t="shared" si="26"/>
        <v>AU Bank</v>
      </c>
      <c r="C612">
        <v>43</v>
      </c>
      <c r="D612">
        <v>43</v>
      </c>
      <c r="E612">
        <v>126</v>
      </c>
      <c r="F612" s="2">
        <v>35746</v>
      </c>
      <c r="G612" s="2">
        <v>35746</v>
      </c>
      <c r="H612" s="2">
        <v>0</v>
      </c>
      <c r="I612" s="2">
        <v>26040</v>
      </c>
      <c r="J612" s="2">
        <v>9706</v>
      </c>
      <c r="K612" s="3">
        <v>6794.2</v>
      </c>
      <c r="L612" s="3">
        <v>2911.8</v>
      </c>
      <c r="M612" s="3">
        <v>0</v>
      </c>
      <c r="N612" s="4" t="s">
        <v>118</v>
      </c>
      <c r="O612" s="3" t="str">
        <f t="shared" si="25"/>
        <v>Offline - Box Office</v>
      </c>
      <c r="P612" s="11">
        <v>10700000</v>
      </c>
      <c r="Q612" s="3">
        <v>6556700000</v>
      </c>
      <c r="R612" s="3">
        <v>4323100000</v>
      </c>
      <c r="S612" s="11">
        <v>16300000</v>
      </c>
    </row>
    <row r="613" spans="1:19" x14ac:dyDescent="0.35">
      <c r="A613" s="1" t="s">
        <v>120</v>
      </c>
      <c r="B613" s="1" t="str">
        <f t="shared" si="26"/>
        <v>AU Bank</v>
      </c>
      <c r="C613">
        <v>49</v>
      </c>
      <c r="D613">
        <v>49</v>
      </c>
      <c r="E613">
        <v>124</v>
      </c>
      <c r="F613" s="2">
        <v>45267.26</v>
      </c>
      <c r="G613" s="2">
        <v>39717</v>
      </c>
      <c r="H613" s="2">
        <v>0</v>
      </c>
      <c r="I613" s="2">
        <v>34094.26</v>
      </c>
      <c r="J613" s="2">
        <v>11173</v>
      </c>
      <c r="K613" s="3">
        <v>7821.1</v>
      </c>
      <c r="L613" s="3">
        <v>3351.9</v>
      </c>
      <c r="M613" s="3">
        <v>5436.26</v>
      </c>
      <c r="N613" s="4" t="s">
        <v>118</v>
      </c>
      <c r="O613" s="3" t="str">
        <f t="shared" si="25"/>
        <v>Online</v>
      </c>
      <c r="P613" s="11">
        <v>10700000</v>
      </c>
      <c r="Q613" s="3">
        <v>6556700000</v>
      </c>
      <c r="R613" s="3">
        <v>4323100000</v>
      </c>
      <c r="S613" s="11">
        <v>16300000</v>
      </c>
    </row>
    <row r="614" spans="1:19" x14ac:dyDescent="0.35">
      <c r="A614" s="1" t="s">
        <v>73</v>
      </c>
      <c r="B614" s="1" t="str">
        <f t="shared" si="26"/>
        <v>Federal Bank</v>
      </c>
      <c r="C614">
        <v>928</v>
      </c>
      <c r="D614">
        <v>928</v>
      </c>
      <c r="E614">
        <v>2792</v>
      </c>
      <c r="F614" s="2">
        <v>689347.29</v>
      </c>
      <c r="G614" s="2">
        <v>689347.29</v>
      </c>
      <c r="H614" s="2">
        <v>0</v>
      </c>
      <c r="I614" s="2">
        <v>596921.11</v>
      </c>
      <c r="J614" s="2">
        <v>92426.18</v>
      </c>
      <c r="K614" s="3">
        <v>73940.960000000006</v>
      </c>
      <c r="L614" s="3">
        <v>18485.22</v>
      </c>
      <c r="M614" s="3">
        <v>0</v>
      </c>
      <c r="N614" s="4" t="s">
        <v>118</v>
      </c>
      <c r="O614" s="3" t="str">
        <f t="shared" si="25"/>
        <v>Offline - Box Office</v>
      </c>
      <c r="P614" s="11">
        <v>10700000</v>
      </c>
      <c r="Q614" s="3">
        <v>6556700000</v>
      </c>
      <c r="R614" s="3">
        <v>4323100000</v>
      </c>
      <c r="S614" s="11">
        <v>16300000</v>
      </c>
    </row>
    <row r="615" spans="1:19" x14ac:dyDescent="0.35">
      <c r="A615" s="1" t="s">
        <v>74</v>
      </c>
      <c r="B615" s="1" t="str">
        <f t="shared" si="26"/>
        <v>Federal Bank</v>
      </c>
      <c r="C615">
        <v>833</v>
      </c>
      <c r="D615">
        <v>833</v>
      </c>
      <c r="E615">
        <v>2064</v>
      </c>
      <c r="F615" s="2">
        <v>571545.55000000005</v>
      </c>
      <c r="G615" s="2">
        <v>490664.87</v>
      </c>
      <c r="H615" s="2">
        <v>5660</v>
      </c>
      <c r="I615" s="2">
        <v>489452.72</v>
      </c>
      <c r="J615" s="2">
        <v>82092.83</v>
      </c>
      <c r="K615" s="3">
        <v>65674.36</v>
      </c>
      <c r="L615" s="3">
        <v>16418.47</v>
      </c>
      <c r="M615" s="3">
        <v>73564.679999999993</v>
      </c>
      <c r="N615" s="4" t="s">
        <v>118</v>
      </c>
      <c r="O615" s="3" t="str">
        <f t="shared" si="25"/>
        <v>Online</v>
      </c>
      <c r="P615" s="11">
        <v>10700000</v>
      </c>
      <c r="Q615" s="3">
        <v>6556700000</v>
      </c>
      <c r="R615" s="3">
        <v>4323100000</v>
      </c>
      <c r="S615" s="11">
        <v>16300000</v>
      </c>
    </row>
    <row r="616" spans="1:19" x14ac:dyDescent="0.35">
      <c r="A616" s="1" t="s">
        <v>27</v>
      </c>
      <c r="B616" s="1" t="str">
        <f t="shared" si="26"/>
        <v>Federal Bank</v>
      </c>
      <c r="C616">
        <v>63</v>
      </c>
      <c r="D616">
        <v>63</v>
      </c>
      <c r="E616">
        <v>183</v>
      </c>
      <c r="F616" s="2">
        <v>56511.88</v>
      </c>
      <c r="G616" s="2">
        <v>56511.88</v>
      </c>
      <c r="H616" s="2">
        <v>0</v>
      </c>
      <c r="I616" s="2">
        <v>50212.88</v>
      </c>
      <c r="J616" s="2">
        <v>6299</v>
      </c>
      <c r="K616" s="3">
        <v>6299</v>
      </c>
      <c r="L616" s="3">
        <v>0</v>
      </c>
      <c r="M616" s="3">
        <v>0</v>
      </c>
      <c r="N616" s="4" t="s">
        <v>118</v>
      </c>
      <c r="O616" s="3" t="str">
        <f t="shared" si="25"/>
        <v>Offline - Box Office</v>
      </c>
      <c r="P616" s="11">
        <v>10700000</v>
      </c>
      <c r="Q616" s="3">
        <v>6556700000</v>
      </c>
      <c r="R616" s="3">
        <v>4323100000</v>
      </c>
      <c r="S616" s="11">
        <v>16300000</v>
      </c>
    </row>
    <row r="617" spans="1:19" x14ac:dyDescent="0.35">
      <c r="A617" s="1" t="s">
        <v>28</v>
      </c>
      <c r="B617" s="1" t="str">
        <f t="shared" si="26"/>
        <v>Federal Bank</v>
      </c>
      <c r="C617">
        <v>152</v>
      </c>
      <c r="D617">
        <v>152</v>
      </c>
      <c r="E617">
        <v>392</v>
      </c>
      <c r="F617" s="2">
        <v>116022.27</v>
      </c>
      <c r="G617" s="2">
        <v>99616.29</v>
      </c>
      <c r="H617" s="2">
        <v>2020</v>
      </c>
      <c r="I617" s="2">
        <v>100905.44</v>
      </c>
      <c r="J617" s="2">
        <v>15116.83</v>
      </c>
      <c r="K617" s="3">
        <v>15116.83</v>
      </c>
      <c r="L617" s="3">
        <v>0</v>
      </c>
      <c r="M617" s="3">
        <v>14083.98</v>
      </c>
      <c r="N617" s="4" t="s">
        <v>118</v>
      </c>
      <c r="O617" s="3" t="str">
        <f t="shared" si="25"/>
        <v>Online</v>
      </c>
      <c r="P617" s="11">
        <v>10700000</v>
      </c>
      <c r="Q617" s="3">
        <v>6556700000</v>
      </c>
      <c r="R617" s="3">
        <v>4323100000</v>
      </c>
      <c r="S617" s="11">
        <v>16300000</v>
      </c>
    </row>
    <row r="618" spans="1:19" x14ac:dyDescent="0.35">
      <c r="A618" s="1" t="s">
        <v>29</v>
      </c>
      <c r="B618" s="1" t="str">
        <f t="shared" si="26"/>
        <v>Federal Bank</v>
      </c>
      <c r="C618">
        <v>300</v>
      </c>
      <c r="D618">
        <v>300</v>
      </c>
      <c r="E618">
        <v>833</v>
      </c>
      <c r="F618" s="2">
        <v>204929.84</v>
      </c>
      <c r="G618" s="2">
        <v>204929.84</v>
      </c>
      <c r="H618" s="2">
        <v>0</v>
      </c>
      <c r="I618" s="2">
        <v>175013.01</v>
      </c>
      <c r="J618" s="2">
        <v>29916.83</v>
      </c>
      <c r="K618" s="3">
        <v>29916.83</v>
      </c>
      <c r="L618" s="3">
        <v>0</v>
      </c>
      <c r="M618" s="3">
        <v>0</v>
      </c>
      <c r="N618" s="4" t="s">
        <v>118</v>
      </c>
      <c r="O618" s="3" t="str">
        <f t="shared" si="25"/>
        <v>Offline - Box Office</v>
      </c>
      <c r="P618" s="11">
        <v>10700000</v>
      </c>
      <c r="Q618" s="3">
        <v>6556700000</v>
      </c>
      <c r="R618" s="3">
        <v>4323100000</v>
      </c>
      <c r="S618" s="11">
        <v>16300000</v>
      </c>
    </row>
    <row r="619" spans="1:19" x14ac:dyDescent="0.35">
      <c r="A619" s="1" t="s">
        <v>30</v>
      </c>
      <c r="B619" s="1" t="str">
        <f t="shared" si="26"/>
        <v>Federal Bank</v>
      </c>
      <c r="C619">
        <v>300</v>
      </c>
      <c r="D619">
        <v>300</v>
      </c>
      <c r="E619">
        <v>717</v>
      </c>
      <c r="F619" s="2">
        <v>189105.01</v>
      </c>
      <c r="G619" s="2">
        <v>161992.67000000001</v>
      </c>
      <c r="H619" s="2">
        <v>2030</v>
      </c>
      <c r="I619" s="2">
        <v>159290.85</v>
      </c>
      <c r="J619" s="2">
        <v>29814.16</v>
      </c>
      <c r="K619" s="3">
        <v>29814.16</v>
      </c>
      <c r="L619" s="3">
        <v>0</v>
      </c>
      <c r="M619" s="3">
        <v>24554.34</v>
      </c>
      <c r="N619" s="4" t="s">
        <v>118</v>
      </c>
      <c r="O619" s="3" t="str">
        <f t="shared" si="25"/>
        <v>Online</v>
      </c>
      <c r="P619" s="11">
        <v>10700000</v>
      </c>
      <c r="Q619" s="3">
        <v>6556700000</v>
      </c>
      <c r="R619" s="3">
        <v>4323100000</v>
      </c>
      <c r="S619" s="11">
        <v>16300000</v>
      </c>
    </row>
    <row r="620" spans="1:19" x14ac:dyDescent="0.35">
      <c r="A620" s="1" t="s">
        <v>121</v>
      </c>
      <c r="B620" s="1" t="str">
        <f t="shared" si="26"/>
        <v>AU Bank</v>
      </c>
      <c r="C620">
        <v>145</v>
      </c>
      <c r="D620">
        <v>0</v>
      </c>
      <c r="E620">
        <v>468</v>
      </c>
      <c r="F620" s="2">
        <v>132132.9</v>
      </c>
      <c r="G620" s="2">
        <v>132132.9</v>
      </c>
      <c r="H620" s="2">
        <v>0</v>
      </c>
      <c r="I620" s="2">
        <v>112428.9</v>
      </c>
      <c r="J620" s="2">
        <v>19704</v>
      </c>
      <c r="K620" s="3">
        <v>13792.8</v>
      </c>
      <c r="L620" s="3">
        <v>5911.2</v>
      </c>
      <c r="M620" s="3">
        <v>0</v>
      </c>
      <c r="N620" s="4" t="s">
        <v>118</v>
      </c>
      <c r="O620" s="3" t="str">
        <f t="shared" si="25"/>
        <v>Offline - Box Office</v>
      </c>
      <c r="P620" s="11">
        <v>10700000</v>
      </c>
      <c r="Q620" s="3">
        <v>6556700000</v>
      </c>
      <c r="R620" s="3">
        <v>4323100000</v>
      </c>
      <c r="S620" s="11">
        <v>16300000</v>
      </c>
    </row>
    <row r="621" spans="1:19" x14ac:dyDescent="0.35">
      <c r="A621" s="1" t="s">
        <v>122</v>
      </c>
      <c r="B621" s="1" t="str">
        <f t="shared" si="26"/>
        <v>AU Bank</v>
      </c>
      <c r="C621">
        <v>69</v>
      </c>
      <c r="D621">
        <v>0</v>
      </c>
      <c r="E621">
        <v>199</v>
      </c>
      <c r="F621" s="2">
        <v>72367.75</v>
      </c>
      <c r="G621" s="2">
        <v>63109.41</v>
      </c>
      <c r="H621" s="2">
        <v>560</v>
      </c>
      <c r="I621" s="2">
        <v>62940.75</v>
      </c>
      <c r="J621" s="2">
        <v>9427</v>
      </c>
      <c r="K621" s="3">
        <v>6598.9</v>
      </c>
      <c r="L621" s="3">
        <v>2828.1</v>
      </c>
      <c r="M621" s="3">
        <v>8534.34</v>
      </c>
      <c r="N621" s="4" t="s">
        <v>118</v>
      </c>
      <c r="O621" s="3" t="str">
        <f t="shared" si="25"/>
        <v>Online</v>
      </c>
      <c r="P621" s="11">
        <v>10700000</v>
      </c>
      <c r="Q621" s="3">
        <v>6556700000</v>
      </c>
      <c r="R621" s="3">
        <v>4323100000</v>
      </c>
      <c r="S621" s="11">
        <v>16300000</v>
      </c>
    </row>
    <row r="622" spans="1:19" x14ac:dyDescent="0.35">
      <c r="A622" s="1" t="s">
        <v>123</v>
      </c>
      <c r="B622" s="1" t="str">
        <f t="shared" si="26"/>
        <v>AU Bank</v>
      </c>
      <c r="C622">
        <v>216</v>
      </c>
      <c r="D622">
        <v>0</v>
      </c>
      <c r="E622">
        <v>726</v>
      </c>
      <c r="F622" s="2">
        <v>197199.47</v>
      </c>
      <c r="G622" s="2">
        <v>197199.47</v>
      </c>
      <c r="H622" s="2">
        <v>0</v>
      </c>
      <c r="I622" s="2">
        <v>175699.47</v>
      </c>
      <c r="J622" s="2">
        <v>21500</v>
      </c>
      <c r="K622" s="3">
        <v>15050</v>
      </c>
      <c r="L622" s="3">
        <v>6450</v>
      </c>
      <c r="M622" s="3">
        <v>0</v>
      </c>
      <c r="N622" s="4" t="s">
        <v>118</v>
      </c>
      <c r="O622" s="3" t="str">
        <f t="shared" si="25"/>
        <v>Offline - Box Office</v>
      </c>
      <c r="P622" s="11">
        <v>10700000</v>
      </c>
      <c r="Q622" s="3">
        <v>6556700000</v>
      </c>
      <c r="R622" s="3">
        <v>4323100000</v>
      </c>
      <c r="S622" s="11">
        <v>16300000</v>
      </c>
    </row>
    <row r="623" spans="1:19" x14ac:dyDescent="0.35">
      <c r="A623" s="1" t="s">
        <v>124</v>
      </c>
      <c r="B623" s="1" t="str">
        <f t="shared" si="26"/>
        <v>AU Bank</v>
      </c>
      <c r="C623">
        <v>69</v>
      </c>
      <c r="D623">
        <v>0</v>
      </c>
      <c r="E623">
        <v>182</v>
      </c>
      <c r="F623" s="2">
        <v>65918.06</v>
      </c>
      <c r="G623" s="2">
        <v>57800.6</v>
      </c>
      <c r="H623" s="2">
        <v>0</v>
      </c>
      <c r="I623" s="2">
        <v>59018.06</v>
      </c>
      <c r="J623" s="2">
        <v>6900</v>
      </c>
      <c r="K623" s="3">
        <v>4830</v>
      </c>
      <c r="L623" s="3">
        <v>2070</v>
      </c>
      <c r="M623" s="3">
        <v>7973.46</v>
      </c>
      <c r="N623" s="4" t="s">
        <v>118</v>
      </c>
      <c r="O623" s="3" t="str">
        <f t="shared" si="25"/>
        <v>Online</v>
      </c>
      <c r="P623" s="11">
        <v>10700000</v>
      </c>
      <c r="Q623" s="3">
        <v>6556700000</v>
      </c>
      <c r="R623" s="3">
        <v>4323100000</v>
      </c>
      <c r="S623" s="11">
        <v>16300000</v>
      </c>
    </row>
    <row r="624" spans="1:19" x14ac:dyDescent="0.35">
      <c r="A624" s="1" t="s">
        <v>32</v>
      </c>
      <c r="B624" s="1" t="str">
        <f t="shared" si="26"/>
        <v>ICICI Bank</v>
      </c>
      <c r="C624">
        <v>4312</v>
      </c>
      <c r="D624">
        <v>0</v>
      </c>
      <c r="E624">
        <v>12050</v>
      </c>
      <c r="F624" s="2">
        <v>3024789.94</v>
      </c>
      <c r="G624" s="2">
        <v>3024823.5</v>
      </c>
      <c r="H624" s="2">
        <v>0</v>
      </c>
      <c r="I624" s="2">
        <v>2586010.94</v>
      </c>
      <c r="J624" s="2">
        <v>438779</v>
      </c>
      <c r="K624" s="3">
        <v>386125.52</v>
      </c>
      <c r="L624" s="3">
        <v>52653.48</v>
      </c>
      <c r="M624" s="3">
        <v>0</v>
      </c>
      <c r="N624" s="4" t="s">
        <v>118</v>
      </c>
      <c r="O624" s="3" t="str">
        <f t="shared" si="25"/>
        <v>Offline - Box Office</v>
      </c>
      <c r="P624" s="11">
        <v>10700000</v>
      </c>
      <c r="Q624" s="3">
        <v>6556700000</v>
      </c>
      <c r="R624" s="3">
        <v>4323100000</v>
      </c>
      <c r="S624" s="11">
        <v>16300000</v>
      </c>
    </row>
    <row r="625" spans="1:19" x14ac:dyDescent="0.35">
      <c r="A625" s="1" t="s">
        <v>33</v>
      </c>
      <c r="B625" s="1" t="str">
        <f t="shared" si="26"/>
        <v>ICICI Bank</v>
      </c>
      <c r="C625">
        <v>1662</v>
      </c>
      <c r="D625">
        <v>0</v>
      </c>
      <c r="E625">
        <v>4513</v>
      </c>
      <c r="F625" s="2">
        <v>1373592.35</v>
      </c>
      <c r="G625" s="2">
        <v>1180045.03</v>
      </c>
      <c r="H625" s="2">
        <v>27194</v>
      </c>
      <c r="I625" s="2">
        <v>1198625.3500000001</v>
      </c>
      <c r="J625" s="2">
        <v>174967</v>
      </c>
      <c r="K625" s="3">
        <v>148721.95000000001</v>
      </c>
      <c r="L625" s="3">
        <v>26245.05</v>
      </c>
      <c r="M625" s="3">
        <v>162710.39999999999</v>
      </c>
      <c r="N625" s="4" t="s">
        <v>118</v>
      </c>
      <c r="O625" s="3" t="str">
        <f t="shared" si="25"/>
        <v>Online</v>
      </c>
      <c r="P625" s="11">
        <v>10700000</v>
      </c>
      <c r="Q625" s="3">
        <v>6556700000</v>
      </c>
      <c r="R625" s="3">
        <v>4323100000</v>
      </c>
      <c r="S625" s="11">
        <v>16300000</v>
      </c>
    </row>
    <row r="626" spans="1:19" x14ac:dyDescent="0.35">
      <c r="A626" s="1" t="s">
        <v>34</v>
      </c>
      <c r="B626" s="1" t="str">
        <f t="shared" si="26"/>
        <v>ICICI Bank</v>
      </c>
      <c r="C626">
        <v>521</v>
      </c>
      <c r="D626">
        <v>0</v>
      </c>
      <c r="E626">
        <v>1400</v>
      </c>
      <c r="F626" s="2">
        <v>371494.62</v>
      </c>
      <c r="G626" s="2">
        <v>371494.62</v>
      </c>
      <c r="H626" s="2">
        <v>0</v>
      </c>
      <c r="I626" s="2">
        <v>343212.62</v>
      </c>
      <c r="J626" s="2">
        <v>28282</v>
      </c>
      <c r="K626" s="3">
        <v>24888.16</v>
      </c>
      <c r="L626" s="3">
        <v>3393.84</v>
      </c>
      <c r="M626" s="3">
        <v>0</v>
      </c>
      <c r="N626" s="4" t="s">
        <v>118</v>
      </c>
      <c r="O626" s="3" t="str">
        <f t="shared" si="25"/>
        <v>Offline - Box Office</v>
      </c>
      <c r="P626" s="11">
        <v>10700000</v>
      </c>
      <c r="Q626" s="3">
        <v>6556700000</v>
      </c>
      <c r="R626" s="3">
        <v>4323100000</v>
      </c>
      <c r="S626" s="11">
        <v>16300000</v>
      </c>
    </row>
    <row r="627" spans="1:19" x14ac:dyDescent="0.35">
      <c r="A627" s="1" t="s">
        <v>35</v>
      </c>
      <c r="B627" s="1" t="str">
        <f t="shared" si="26"/>
        <v>ICICI Bank</v>
      </c>
      <c r="C627">
        <v>131</v>
      </c>
      <c r="D627">
        <v>0</v>
      </c>
      <c r="E627">
        <v>390</v>
      </c>
      <c r="F627" s="2">
        <v>122902.34</v>
      </c>
      <c r="G627" s="2">
        <v>106314.82</v>
      </c>
      <c r="H627" s="2">
        <v>1230</v>
      </c>
      <c r="I627" s="2">
        <v>115349.34</v>
      </c>
      <c r="J627" s="2">
        <v>7553</v>
      </c>
      <c r="K627" s="3">
        <v>6420.05</v>
      </c>
      <c r="L627" s="3">
        <v>1132.95</v>
      </c>
      <c r="M627" s="3">
        <v>15033.52</v>
      </c>
      <c r="N627" s="4" t="s">
        <v>118</v>
      </c>
      <c r="O627" s="3" t="str">
        <f t="shared" si="25"/>
        <v>Online</v>
      </c>
      <c r="P627" s="11">
        <v>10700000</v>
      </c>
      <c r="Q627" s="3">
        <v>6556700000</v>
      </c>
      <c r="R627" s="3">
        <v>4323100000</v>
      </c>
      <c r="S627" s="11">
        <v>16300000</v>
      </c>
    </row>
    <row r="628" spans="1:19" x14ac:dyDescent="0.35">
      <c r="A628" s="1" t="s">
        <v>110</v>
      </c>
      <c r="B628" s="1" t="str">
        <f t="shared" si="26"/>
        <v>IDBI Bank</v>
      </c>
      <c r="C628">
        <v>143</v>
      </c>
      <c r="D628">
        <v>0</v>
      </c>
      <c r="E628">
        <v>541</v>
      </c>
      <c r="F628" s="2">
        <v>174697.9</v>
      </c>
      <c r="G628" s="2">
        <v>174697.9</v>
      </c>
      <c r="H628" s="2">
        <v>0</v>
      </c>
      <c r="I628" s="2">
        <v>154314.9</v>
      </c>
      <c r="J628" s="2">
        <v>20383</v>
      </c>
      <c r="K628" s="3">
        <v>19363.849999999999</v>
      </c>
      <c r="L628" s="3">
        <v>1019.15</v>
      </c>
      <c r="M628" s="3">
        <v>0</v>
      </c>
      <c r="N628" s="4" t="s">
        <v>118</v>
      </c>
      <c r="O628" s="3" t="str">
        <f t="shared" si="25"/>
        <v>Offline - Box Office</v>
      </c>
      <c r="P628" s="11">
        <v>10700000</v>
      </c>
      <c r="Q628" s="3">
        <v>6556700000</v>
      </c>
      <c r="R628" s="3">
        <v>4323100000</v>
      </c>
      <c r="S628" s="11">
        <v>16300000</v>
      </c>
    </row>
    <row r="629" spans="1:19" x14ac:dyDescent="0.35">
      <c r="A629" s="1" t="s">
        <v>111</v>
      </c>
      <c r="B629" s="1" t="str">
        <f t="shared" si="26"/>
        <v>IDBI Bank</v>
      </c>
      <c r="C629">
        <v>127</v>
      </c>
      <c r="D629">
        <v>0</v>
      </c>
      <c r="E629">
        <v>438</v>
      </c>
      <c r="F629" s="2">
        <v>190604.64</v>
      </c>
      <c r="G629" s="2">
        <v>163634.44</v>
      </c>
      <c r="H629" s="2">
        <v>6697</v>
      </c>
      <c r="I629" s="2">
        <v>172244.64</v>
      </c>
      <c r="J629" s="2">
        <v>18360</v>
      </c>
      <c r="K629" s="3">
        <v>18360</v>
      </c>
      <c r="L629" s="3">
        <v>0</v>
      </c>
      <c r="M629" s="3">
        <v>20004.759999999998</v>
      </c>
      <c r="N629" s="4" t="s">
        <v>118</v>
      </c>
      <c r="O629" s="3" t="str">
        <f t="shared" si="25"/>
        <v>Online</v>
      </c>
      <c r="P629" s="11">
        <v>10700000</v>
      </c>
      <c r="Q629" s="3">
        <v>6556700000</v>
      </c>
      <c r="R629" s="3">
        <v>4323100000</v>
      </c>
      <c r="S629" s="11">
        <v>16300000</v>
      </c>
    </row>
    <row r="630" spans="1:19" x14ac:dyDescent="0.35">
      <c r="A630" s="1" t="s">
        <v>112</v>
      </c>
      <c r="B630" s="1" t="str">
        <f t="shared" si="26"/>
        <v>IDBI Bank</v>
      </c>
      <c r="C630">
        <v>275</v>
      </c>
      <c r="D630">
        <v>0</v>
      </c>
      <c r="E630">
        <v>1089</v>
      </c>
      <c r="F630" s="2">
        <v>350079</v>
      </c>
      <c r="G630" s="2">
        <v>0</v>
      </c>
      <c r="H630" s="2">
        <v>350079</v>
      </c>
      <c r="I630" s="2">
        <v>310446</v>
      </c>
      <c r="J630" s="2">
        <v>39633</v>
      </c>
      <c r="K630" s="3">
        <v>27743.1</v>
      </c>
      <c r="L630" s="3">
        <v>11889.9</v>
      </c>
      <c r="M630" s="3">
        <v>0</v>
      </c>
      <c r="N630" s="4" t="s">
        <v>118</v>
      </c>
      <c r="O630" s="3" t="str">
        <f t="shared" si="25"/>
        <v>Offline - F&amp;B</v>
      </c>
      <c r="P630" s="11">
        <v>10700000</v>
      </c>
      <c r="Q630" s="3">
        <v>6556700000</v>
      </c>
      <c r="R630" s="3">
        <v>4323100000</v>
      </c>
      <c r="S630" s="11">
        <v>16300000</v>
      </c>
    </row>
    <row r="631" spans="1:19" x14ac:dyDescent="0.35">
      <c r="A631" s="1" t="s">
        <v>87</v>
      </c>
      <c r="B631" s="1" t="str">
        <f t="shared" si="26"/>
        <v>J&amp;K Bank</v>
      </c>
      <c r="C631">
        <v>22</v>
      </c>
      <c r="D631">
        <v>0</v>
      </c>
      <c r="E631">
        <v>74</v>
      </c>
      <c r="F631" s="2">
        <v>30559.759999999998</v>
      </c>
      <c r="G631" s="2">
        <v>25450</v>
      </c>
      <c r="H631" s="2">
        <v>1050</v>
      </c>
      <c r="I631" s="2">
        <v>20459.759999999998</v>
      </c>
      <c r="J631" s="2">
        <v>10100</v>
      </c>
      <c r="K631" s="3">
        <v>10100</v>
      </c>
      <c r="L631" s="3">
        <v>0</v>
      </c>
      <c r="M631" s="3">
        <v>3931.76</v>
      </c>
      <c r="N631" s="4" t="s">
        <v>118</v>
      </c>
      <c r="O631" s="3" t="str">
        <f t="shared" si="25"/>
        <v>Online</v>
      </c>
      <c r="P631" s="11">
        <v>10700000</v>
      </c>
      <c r="Q631" s="3">
        <v>6556700000</v>
      </c>
      <c r="R631" s="3">
        <v>4323100000</v>
      </c>
      <c r="S631" s="11">
        <v>16300000</v>
      </c>
    </row>
    <row r="632" spans="1:19" x14ac:dyDescent="0.35">
      <c r="A632" s="1" t="s">
        <v>75</v>
      </c>
      <c r="B632" s="1" t="str">
        <f t="shared" si="26"/>
        <v>J&amp;K Bank</v>
      </c>
      <c r="C632">
        <v>27</v>
      </c>
      <c r="D632">
        <v>0</v>
      </c>
      <c r="E632">
        <v>87</v>
      </c>
      <c r="F632" s="2">
        <v>41616.78</v>
      </c>
      <c r="G632" s="2">
        <v>37124</v>
      </c>
      <c r="H632" s="2">
        <v>0</v>
      </c>
      <c r="I632" s="2">
        <v>28611.78</v>
      </c>
      <c r="J632" s="2">
        <v>13005</v>
      </c>
      <c r="K632" s="3">
        <v>12354.75</v>
      </c>
      <c r="L632" s="3">
        <v>650.25</v>
      </c>
      <c r="M632" s="3">
        <v>4390.78</v>
      </c>
      <c r="N632" s="4" t="s">
        <v>118</v>
      </c>
      <c r="O632" s="3" t="str">
        <f t="shared" si="25"/>
        <v>Online</v>
      </c>
      <c r="P632" s="11">
        <v>10700000</v>
      </c>
      <c r="Q632" s="3">
        <v>6556700000</v>
      </c>
      <c r="R632" s="3">
        <v>4323100000</v>
      </c>
      <c r="S632" s="11">
        <v>16300000</v>
      </c>
    </row>
    <row r="633" spans="1:19" x14ac:dyDescent="0.35">
      <c r="A633" s="1" t="s">
        <v>98</v>
      </c>
      <c r="B633" s="1" t="str">
        <f t="shared" si="26"/>
        <v>J&amp;K Bank</v>
      </c>
      <c r="C633">
        <v>65</v>
      </c>
      <c r="D633">
        <v>0</v>
      </c>
      <c r="E633">
        <v>200</v>
      </c>
      <c r="F633" s="2">
        <v>78402.600000000006</v>
      </c>
      <c r="G633" s="2">
        <v>67080</v>
      </c>
      <c r="H633" s="2">
        <v>780</v>
      </c>
      <c r="I633" s="2">
        <v>48652.6</v>
      </c>
      <c r="J633" s="2">
        <v>29750</v>
      </c>
      <c r="K633" s="3">
        <v>29750</v>
      </c>
      <c r="L633" s="3">
        <v>0</v>
      </c>
      <c r="M633" s="3">
        <v>10348.6</v>
      </c>
      <c r="N633" s="4" t="s">
        <v>118</v>
      </c>
      <c r="O633" s="3" t="str">
        <f t="shared" si="25"/>
        <v>Other</v>
      </c>
      <c r="P633" s="11">
        <v>10700000</v>
      </c>
      <c r="Q633" s="3">
        <v>6556700000</v>
      </c>
      <c r="R633" s="3">
        <v>4323100000</v>
      </c>
      <c r="S633" s="11">
        <v>16300000</v>
      </c>
    </row>
    <row r="634" spans="1:19" x14ac:dyDescent="0.35">
      <c r="A634" s="1" t="s">
        <v>88</v>
      </c>
      <c r="B634" s="1" t="str">
        <f t="shared" si="26"/>
        <v>J&amp;K Bank</v>
      </c>
      <c r="C634">
        <v>1</v>
      </c>
      <c r="D634">
        <v>0</v>
      </c>
      <c r="E634">
        <v>2</v>
      </c>
      <c r="F634" s="2">
        <v>920</v>
      </c>
      <c r="G634" s="2">
        <v>920</v>
      </c>
      <c r="H634" s="2">
        <v>0</v>
      </c>
      <c r="I634" s="2">
        <v>460</v>
      </c>
      <c r="J634" s="2">
        <v>460</v>
      </c>
      <c r="K634" s="3">
        <v>437</v>
      </c>
      <c r="L634" s="3">
        <v>23</v>
      </c>
      <c r="M634" s="3">
        <v>0</v>
      </c>
      <c r="N634" s="4" t="s">
        <v>118</v>
      </c>
      <c r="O634" s="3" t="str">
        <f t="shared" si="25"/>
        <v>Offline - Box Office</v>
      </c>
      <c r="P634" s="11">
        <v>10700000</v>
      </c>
      <c r="Q634" s="3">
        <v>6556700000</v>
      </c>
      <c r="R634" s="3">
        <v>4323100000</v>
      </c>
      <c r="S634" s="11">
        <v>16300000</v>
      </c>
    </row>
    <row r="635" spans="1:19" x14ac:dyDescent="0.35">
      <c r="A635" s="1" t="s">
        <v>77</v>
      </c>
      <c r="B635" s="1" t="str">
        <f t="shared" si="26"/>
        <v>J&amp;K Bank</v>
      </c>
      <c r="C635">
        <v>186</v>
      </c>
      <c r="D635">
        <v>0</v>
      </c>
      <c r="E635">
        <v>514</v>
      </c>
      <c r="F635" s="2">
        <v>226658.74</v>
      </c>
      <c r="G635" s="2">
        <v>197168.82</v>
      </c>
      <c r="H635" s="2">
        <v>2630</v>
      </c>
      <c r="I635" s="2">
        <v>140783.74</v>
      </c>
      <c r="J635" s="2">
        <v>85875</v>
      </c>
      <c r="K635" s="3">
        <v>81581.25</v>
      </c>
      <c r="L635" s="3">
        <v>4293.75</v>
      </c>
      <c r="M635" s="3">
        <v>26367.919999999998</v>
      </c>
      <c r="N635" s="4" t="s">
        <v>118</v>
      </c>
      <c r="O635" s="3" t="str">
        <f t="shared" si="25"/>
        <v>Online</v>
      </c>
      <c r="P635" s="11">
        <v>10700000</v>
      </c>
      <c r="Q635" s="3">
        <v>6556700000</v>
      </c>
      <c r="R635" s="3">
        <v>4323100000</v>
      </c>
      <c r="S635" s="11">
        <v>16300000</v>
      </c>
    </row>
    <row r="636" spans="1:19" x14ac:dyDescent="0.35">
      <c r="A636" s="1" t="s">
        <v>51</v>
      </c>
      <c r="B636" s="1" t="str">
        <f t="shared" si="26"/>
        <v>Kotak Mahindra Bank</v>
      </c>
      <c r="C636">
        <v>73</v>
      </c>
      <c r="D636">
        <v>0</v>
      </c>
      <c r="E636">
        <v>154</v>
      </c>
      <c r="F636" s="2">
        <v>110589.7</v>
      </c>
      <c r="G636" s="2">
        <v>100348</v>
      </c>
      <c r="H636" s="2">
        <v>0</v>
      </c>
      <c r="I636" s="2">
        <v>88236.7</v>
      </c>
      <c r="J636" s="2">
        <v>22353</v>
      </c>
      <c r="K636" s="3">
        <v>17882.400000000001</v>
      </c>
      <c r="L636" s="3">
        <v>4470.6000000000004</v>
      </c>
      <c r="M636" s="3">
        <v>10095.700000000001</v>
      </c>
      <c r="N636" s="4" t="s">
        <v>118</v>
      </c>
      <c r="O636" s="3" t="str">
        <f t="shared" si="25"/>
        <v>Online</v>
      </c>
      <c r="P636" s="11">
        <v>10700000</v>
      </c>
      <c r="Q636" s="3">
        <v>6556700000</v>
      </c>
      <c r="R636" s="3">
        <v>4323100000</v>
      </c>
      <c r="S636" s="11">
        <v>16300000</v>
      </c>
    </row>
    <row r="637" spans="1:19" x14ac:dyDescent="0.35">
      <c r="A637" s="1" t="s">
        <v>52</v>
      </c>
      <c r="B637" s="1" t="str">
        <f t="shared" si="26"/>
        <v>Kotak Mahindra Bank</v>
      </c>
      <c r="C637">
        <v>17</v>
      </c>
      <c r="D637">
        <v>17</v>
      </c>
      <c r="E637">
        <v>39</v>
      </c>
      <c r="F637" s="2">
        <v>33423.519999999997</v>
      </c>
      <c r="G637" s="2">
        <v>30876</v>
      </c>
      <c r="H637" s="2">
        <v>0</v>
      </c>
      <c r="I637" s="2">
        <v>22225.52</v>
      </c>
      <c r="J637" s="2">
        <v>11198</v>
      </c>
      <c r="K637" s="3">
        <v>11198</v>
      </c>
      <c r="L637" s="3">
        <v>0</v>
      </c>
      <c r="M637" s="3">
        <v>2515.52</v>
      </c>
      <c r="N637" s="4" t="s">
        <v>118</v>
      </c>
      <c r="O637" s="3" t="str">
        <f t="shared" si="25"/>
        <v>Online</v>
      </c>
      <c r="P637" s="11">
        <v>10700000</v>
      </c>
      <c r="Q637" s="3">
        <v>6556700000</v>
      </c>
      <c r="R637" s="3">
        <v>4323100000</v>
      </c>
      <c r="S637" s="11">
        <v>16300000</v>
      </c>
    </row>
    <row r="638" spans="1:19" x14ac:dyDescent="0.35">
      <c r="A638" s="1" t="s">
        <v>38</v>
      </c>
      <c r="B638" s="1" t="str">
        <f t="shared" si="26"/>
        <v>Kotak Mahindra Bank</v>
      </c>
      <c r="C638">
        <v>18221</v>
      </c>
      <c r="D638">
        <v>0</v>
      </c>
      <c r="E638">
        <v>43371</v>
      </c>
      <c r="F638" s="2">
        <v>11433609.029999999</v>
      </c>
      <c r="G638" s="2">
        <v>473642.93</v>
      </c>
      <c r="H638" s="2">
        <v>10955969.220000001</v>
      </c>
      <c r="I638" s="2">
        <v>9152647.0299999993</v>
      </c>
      <c r="J638" s="2">
        <v>2280962</v>
      </c>
      <c r="K638" s="3">
        <v>0</v>
      </c>
      <c r="L638" s="3">
        <v>2280962</v>
      </c>
      <c r="M638" s="3">
        <v>3914.88</v>
      </c>
      <c r="N638" s="4" t="s">
        <v>118</v>
      </c>
      <c r="O638" s="3" t="str">
        <f t="shared" si="25"/>
        <v>Other</v>
      </c>
      <c r="P638" s="11">
        <v>10700000</v>
      </c>
      <c r="Q638" s="3">
        <v>6556700000</v>
      </c>
      <c r="R638" s="3">
        <v>4323100000</v>
      </c>
      <c r="S638" s="11">
        <v>16300000</v>
      </c>
    </row>
    <row r="639" spans="1:19" x14ac:dyDescent="0.35">
      <c r="A639" s="1" t="s">
        <v>58</v>
      </c>
      <c r="B639" s="1" t="str">
        <f t="shared" si="26"/>
        <v>Kotak Mahindra Bank</v>
      </c>
      <c r="C639">
        <v>4871</v>
      </c>
      <c r="D639">
        <v>0</v>
      </c>
      <c r="E639">
        <v>11834</v>
      </c>
      <c r="F639" s="2">
        <v>3416949.78</v>
      </c>
      <c r="G639" s="2">
        <v>3261208.27</v>
      </c>
      <c r="H639" s="2">
        <v>1200</v>
      </c>
      <c r="I639" s="2">
        <v>3295481.85</v>
      </c>
      <c r="J639" s="2">
        <v>121468</v>
      </c>
      <c r="K639" s="3">
        <v>0</v>
      </c>
      <c r="L639" s="3">
        <v>121468</v>
      </c>
      <c r="M639" s="3">
        <v>152226.72</v>
      </c>
      <c r="N639" s="4" t="s">
        <v>118</v>
      </c>
      <c r="O639" s="3" t="str">
        <f t="shared" si="25"/>
        <v>Other</v>
      </c>
      <c r="P639" s="11">
        <v>10700000</v>
      </c>
      <c r="Q639" s="3">
        <v>6556700000</v>
      </c>
      <c r="R639" s="3">
        <v>4323100000</v>
      </c>
      <c r="S639" s="11">
        <v>16300000</v>
      </c>
    </row>
    <row r="640" spans="1:19" x14ac:dyDescent="0.35">
      <c r="A640" s="1" t="s">
        <v>114</v>
      </c>
      <c r="B640" s="1" t="str">
        <f t="shared" si="26"/>
        <v>State Bank of India</v>
      </c>
      <c r="C640">
        <v>1471</v>
      </c>
      <c r="D640">
        <v>0</v>
      </c>
      <c r="E640">
        <v>5270</v>
      </c>
      <c r="F640" s="2">
        <v>1702536.76</v>
      </c>
      <c r="G640" s="2">
        <v>1702536.76</v>
      </c>
      <c r="H640" s="2">
        <v>0</v>
      </c>
      <c r="I640" s="2">
        <v>1571566.76</v>
      </c>
      <c r="J640" s="2">
        <v>130970</v>
      </c>
      <c r="K640" s="3">
        <v>104776</v>
      </c>
      <c r="L640" s="3">
        <v>26194</v>
      </c>
      <c r="M640" s="3">
        <v>0</v>
      </c>
      <c r="N640" s="4" t="s">
        <v>118</v>
      </c>
      <c r="O640" s="3" t="str">
        <f t="shared" si="25"/>
        <v>Offline - Box Office</v>
      </c>
      <c r="P640" s="11">
        <v>10700000</v>
      </c>
      <c r="Q640" s="3">
        <v>6556700000</v>
      </c>
      <c r="R640" s="3">
        <v>4323100000</v>
      </c>
      <c r="S640" s="11">
        <v>16300000</v>
      </c>
    </row>
    <row r="641" spans="1:19" x14ac:dyDescent="0.35">
      <c r="A641" s="1" t="s">
        <v>115</v>
      </c>
      <c r="B641" s="1" t="str">
        <f t="shared" si="26"/>
        <v>State Bank of India</v>
      </c>
      <c r="C641">
        <v>3051</v>
      </c>
      <c r="D641">
        <v>0</v>
      </c>
      <c r="E641">
        <v>11027</v>
      </c>
      <c r="F641" s="2">
        <v>3371670.82</v>
      </c>
      <c r="G641" s="2">
        <v>0</v>
      </c>
      <c r="H641" s="2">
        <v>3371670.82</v>
      </c>
      <c r="I641" s="2">
        <v>3099185.82</v>
      </c>
      <c r="J641" s="2">
        <v>272485</v>
      </c>
      <c r="K641" s="3">
        <v>217988</v>
      </c>
      <c r="L641" s="3">
        <v>54497</v>
      </c>
      <c r="M641" s="3">
        <v>0</v>
      </c>
      <c r="N641" s="4" t="s">
        <v>118</v>
      </c>
      <c r="O641" s="3" t="str">
        <f t="shared" si="25"/>
        <v>Offline - F&amp;B</v>
      </c>
      <c r="P641" s="11">
        <v>10700000</v>
      </c>
      <c r="Q641" s="3">
        <v>6556700000</v>
      </c>
      <c r="R641" s="3">
        <v>4323100000</v>
      </c>
      <c r="S641" s="11">
        <v>16300000</v>
      </c>
    </row>
    <row r="642" spans="1:19" x14ac:dyDescent="0.35">
      <c r="A642" s="1" t="s">
        <v>40</v>
      </c>
      <c r="B642" s="1" t="str">
        <f t="shared" si="26"/>
        <v>Standard Chartered Bank</v>
      </c>
      <c r="C642">
        <v>7</v>
      </c>
      <c r="D642">
        <v>7</v>
      </c>
      <c r="E642">
        <v>17</v>
      </c>
      <c r="F642" s="2">
        <v>4061.96</v>
      </c>
      <c r="G642" s="2">
        <v>4061.96</v>
      </c>
      <c r="H642" s="2">
        <v>0</v>
      </c>
      <c r="I642" s="2">
        <v>2661.96</v>
      </c>
      <c r="J642" s="2">
        <v>1400</v>
      </c>
      <c r="K642" s="3">
        <v>1400</v>
      </c>
      <c r="L642" s="3">
        <v>0</v>
      </c>
      <c r="M642" s="3">
        <v>0</v>
      </c>
      <c r="N642" s="4" t="s">
        <v>118</v>
      </c>
      <c r="O642" s="3" t="str">
        <f t="shared" ref="O642:O705" si="27">IF(ISNUMBER(SEARCH("Box Office",A642)),"Offline - Box Office",
IF(ISNUMBER(SEARCH("Digital Platforms",A642)),"Online",
IF(ISNUMBER(SEARCH("Refuel",A642)),"Offline - F&amp;B",
IF(ISNUMBER(SEARCH("Food &amp; Beverages",A642)),"Offline - F&amp;B",
IF(ISNUMBER(SEARCH("F&amp;B",A642)),"Offline - F&amp;B",
IF(ISNUMBER(SEARCH("Kiosk",A642)),"Offline - Box Office",
IF(ISNUMBER(SEARCH("Cinema",A642)),"Offline - Box Office",
"Other")))))))</f>
        <v>Offline - Box Office</v>
      </c>
      <c r="P642" s="11">
        <v>10700000</v>
      </c>
      <c r="Q642" s="3">
        <v>6556700000</v>
      </c>
      <c r="R642" s="3">
        <v>4323100000</v>
      </c>
      <c r="S642" s="11">
        <v>16300000</v>
      </c>
    </row>
    <row r="643" spans="1:19" x14ac:dyDescent="0.35">
      <c r="A643" s="1" t="s">
        <v>41</v>
      </c>
      <c r="B643" s="1" t="str">
        <f t="shared" si="26"/>
        <v>Standard Chartered Bank</v>
      </c>
      <c r="C643">
        <v>92</v>
      </c>
      <c r="D643">
        <v>92</v>
      </c>
      <c r="E643">
        <v>195</v>
      </c>
      <c r="F643" s="2">
        <v>58415.82</v>
      </c>
      <c r="G643" s="2">
        <v>50988</v>
      </c>
      <c r="H643" s="2">
        <v>0</v>
      </c>
      <c r="I643" s="2">
        <v>40200.019999999997</v>
      </c>
      <c r="J643" s="2">
        <v>18215.8</v>
      </c>
      <c r="K643" s="3">
        <v>18215.8</v>
      </c>
      <c r="L643" s="3">
        <v>0</v>
      </c>
      <c r="M643" s="3">
        <v>7255.82</v>
      </c>
      <c r="N643" s="4" t="s">
        <v>118</v>
      </c>
      <c r="O643" s="3" t="str">
        <f t="shared" si="27"/>
        <v>Online</v>
      </c>
      <c r="P643" s="11">
        <v>10700000</v>
      </c>
      <c r="Q643" s="3">
        <v>6556700000</v>
      </c>
      <c r="R643" s="3">
        <v>4323100000</v>
      </c>
      <c r="S643" s="11">
        <v>16300000</v>
      </c>
    </row>
    <row r="644" spans="1:19" x14ac:dyDescent="0.35">
      <c r="A644" s="1" t="s">
        <v>125</v>
      </c>
      <c r="B644" s="1" t="str">
        <f t="shared" si="26"/>
        <v>HDFC Bank</v>
      </c>
      <c r="C644">
        <v>2552</v>
      </c>
      <c r="D644">
        <v>0</v>
      </c>
      <c r="E644">
        <v>14987</v>
      </c>
      <c r="F644" s="2">
        <v>5491774.1600000001</v>
      </c>
      <c r="G644" s="2">
        <v>1934767.82</v>
      </c>
      <c r="H644" s="2">
        <v>3507549.88</v>
      </c>
      <c r="I644" s="2">
        <v>5259493.16</v>
      </c>
      <c r="J644" s="2">
        <v>232281</v>
      </c>
      <c r="K644" s="3">
        <v>0</v>
      </c>
      <c r="L644" s="3">
        <v>232281</v>
      </c>
      <c r="M644" s="3">
        <v>48900.76</v>
      </c>
      <c r="N644" s="4" t="s">
        <v>118</v>
      </c>
      <c r="O644" s="3" t="str">
        <f t="shared" si="27"/>
        <v>Other</v>
      </c>
      <c r="P644" s="11">
        <v>10700000</v>
      </c>
      <c r="Q644" s="3">
        <v>6556700000</v>
      </c>
      <c r="R644" s="3">
        <v>4323100000</v>
      </c>
      <c r="S644" s="11">
        <v>16300000</v>
      </c>
    </row>
    <row r="645" spans="1:19" x14ac:dyDescent="0.35">
      <c r="A645" s="1" t="s">
        <v>106</v>
      </c>
      <c r="B645" s="1" t="str">
        <f t="shared" si="26"/>
        <v>Visa</v>
      </c>
      <c r="C645">
        <v>2144</v>
      </c>
      <c r="D645">
        <v>0</v>
      </c>
      <c r="E645">
        <v>15506</v>
      </c>
      <c r="F645" s="2">
        <v>5454495.6399999997</v>
      </c>
      <c r="G645" s="2">
        <v>0</v>
      </c>
      <c r="H645" s="2">
        <v>5454495.6399999997</v>
      </c>
      <c r="I645" s="2">
        <v>5025695.6399999997</v>
      </c>
      <c r="J645" s="2">
        <v>428800</v>
      </c>
      <c r="K645" s="3">
        <v>428800</v>
      </c>
      <c r="L645" s="3">
        <v>0</v>
      </c>
      <c r="M645" s="3">
        <v>0</v>
      </c>
      <c r="N645" s="4" t="s">
        <v>118</v>
      </c>
      <c r="O645" s="3" t="str">
        <f t="shared" si="27"/>
        <v>Offline - F&amp;B</v>
      </c>
      <c r="P645" s="11">
        <v>10700000</v>
      </c>
      <c r="Q645" s="3">
        <v>6556700000</v>
      </c>
      <c r="R645" s="3">
        <v>4323100000</v>
      </c>
      <c r="S645" s="11">
        <v>16300000</v>
      </c>
    </row>
    <row r="646" spans="1:19" x14ac:dyDescent="0.35">
      <c r="A646" s="1" t="s">
        <v>107</v>
      </c>
      <c r="B646" s="1" t="str">
        <f t="shared" si="26"/>
        <v>Visa</v>
      </c>
      <c r="C646">
        <v>763</v>
      </c>
      <c r="D646">
        <v>0</v>
      </c>
      <c r="E646">
        <v>2877</v>
      </c>
      <c r="F646" s="2">
        <v>1147635.67</v>
      </c>
      <c r="G646" s="2">
        <v>1147635.67</v>
      </c>
      <c r="H646" s="2">
        <v>0</v>
      </c>
      <c r="I646" s="2">
        <v>1146872.67</v>
      </c>
      <c r="J646" s="2">
        <v>763</v>
      </c>
      <c r="K646" s="3">
        <v>763</v>
      </c>
      <c r="L646" s="3">
        <v>0</v>
      </c>
      <c r="M646" s="3">
        <v>0</v>
      </c>
      <c r="N646" s="4" t="s">
        <v>118</v>
      </c>
      <c r="O646" s="3" t="str">
        <f t="shared" si="27"/>
        <v>Other</v>
      </c>
      <c r="P646" s="11">
        <v>10700000</v>
      </c>
      <c r="Q646" s="3">
        <v>6556700000</v>
      </c>
      <c r="R646" s="3">
        <v>4323100000</v>
      </c>
      <c r="S646" s="11">
        <v>16300000</v>
      </c>
    </row>
    <row r="647" spans="1:19" x14ac:dyDescent="0.35">
      <c r="A647" s="1" t="s">
        <v>108</v>
      </c>
      <c r="B647" s="1" t="str">
        <f t="shared" si="26"/>
        <v>Visa</v>
      </c>
      <c r="C647">
        <v>17933</v>
      </c>
      <c r="D647">
        <v>0</v>
      </c>
      <c r="E647">
        <v>42144</v>
      </c>
      <c r="F647" s="2">
        <v>12224717.949999999</v>
      </c>
      <c r="G647" s="2">
        <v>0</v>
      </c>
      <c r="H647" s="2">
        <v>12224717.949999999</v>
      </c>
      <c r="I647" s="2">
        <v>9800574.9499999993</v>
      </c>
      <c r="J647" s="2">
        <v>2424143</v>
      </c>
      <c r="K647" s="3">
        <v>2424143</v>
      </c>
      <c r="L647" s="3">
        <v>0</v>
      </c>
      <c r="M647" s="3">
        <v>0</v>
      </c>
      <c r="N647" s="4" t="s">
        <v>118</v>
      </c>
      <c r="O647" s="3" t="str">
        <f t="shared" si="27"/>
        <v>Offline - F&amp;B</v>
      </c>
      <c r="P647" s="11">
        <v>10700000</v>
      </c>
      <c r="Q647" s="3">
        <v>6556700000</v>
      </c>
      <c r="R647" s="3">
        <v>4323100000</v>
      </c>
      <c r="S647" s="11">
        <v>16300000</v>
      </c>
    </row>
    <row r="648" spans="1:19" x14ac:dyDescent="0.35">
      <c r="A648" s="1" t="s">
        <v>91</v>
      </c>
      <c r="B648" s="1" t="str">
        <f t="shared" si="26"/>
        <v>American Express</v>
      </c>
      <c r="C648">
        <v>337</v>
      </c>
      <c r="D648">
        <v>337</v>
      </c>
      <c r="E648">
        <v>897</v>
      </c>
      <c r="F648" s="2">
        <v>469488.7</v>
      </c>
      <c r="G648" s="2">
        <v>469488.7</v>
      </c>
      <c r="H648" s="2">
        <v>0</v>
      </c>
      <c r="I648" s="2">
        <v>337746.17</v>
      </c>
      <c r="J648" s="2">
        <v>131742.53</v>
      </c>
      <c r="K648" s="3">
        <v>65871.28</v>
      </c>
      <c r="L648" s="3">
        <v>65871.28</v>
      </c>
      <c r="M648" s="3">
        <v>0</v>
      </c>
      <c r="N648" s="4" t="s">
        <v>126</v>
      </c>
      <c r="O648" s="3" t="str">
        <f t="shared" si="27"/>
        <v>Offline - Box Office</v>
      </c>
      <c r="P648" s="11">
        <v>9623000</v>
      </c>
      <c r="Q648" s="3">
        <v>5914500000</v>
      </c>
      <c r="R648" s="3">
        <v>3944500000</v>
      </c>
      <c r="S648" s="11">
        <v>14900000</v>
      </c>
    </row>
    <row r="649" spans="1:19" x14ac:dyDescent="0.35">
      <c r="A649" s="1" t="s">
        <v>93</v>
      </c>
      <c r="B649" s="1" t="str">
        <f t="shared" si="26"/>
        <v>American Express</v>
      </c>
      <c r="C649">
        <v>1606</v>
      </c>
      <c r="D649">
        <v>1606</v>
      </c>
      <c r="E649">
        <v>4216</v>
      </c>
      <c r="F649" s="2">
        <v>2609439.64</v>
      </c>
      <c r="G649" s="2">
        <v>2340484.2999999998</v>
      </c>
      <c r="H649" s="2">
        <v>29828</v>
      </c>
      <c r="I649" s="2">
        <v>1950809.69</v>
      </c>
      <c r="J649" s="2">
        <v>658629.94999999995</v>
      </c>
      <c r="K649" s="3">
        <v>329315.08</v>
      </c>
      <c r="L649" s="3">
        <v>329315.08</v>
      </c>
      <c r="M649" s="3">
        <v>233993.34</v>
      </c>
      <c r="N649" s="4" t="s">
        <v>126</v>
      </c>
      <c r="O649" s="3" t="str">
        <f t="shared" si="27"/>
        <v>Online</v>
      </c>
      <c r="P649" s="11">
        <v>9623000</v>
      </c>
      <c r="Q649" s="3">
        <v>5914500000</v>
      </c>
      <c r="R649" s="3">
        <v>3944500000</v>
      </c>
      <c r="S649" s="11">
        <v>14900000</v>
      </c>
    </row>
    <row r="650" spans="1:19" x14ac:dyDescent="0.35">
      <c r="A650" s="1" t="s">
        <v>43</v>
      </c>
      <c r="B650" s="1" t="str">
        <f t="shared" si="26"/>
        <v>Axis Bank</v>
      </c>
      <c r="C650">
        <v>21</v>
      </c>
      <c r="D650">
        <v>21</v>
      </c>
      <c r="E650">
        <v>72</v>
      </c>
      <c r="F650" s="2">
        <v>22873</v>
      </c>
      <c r="G650" s="2">
        <v>22873</v>
      </c>
      <c r="H650" s="2">
        <v>0</v>
      </c>
      <c r="I650" s="2">
        <v>18851</v>
      </c>
      <c r="J650" s="2">
        <v>4022</v>
      </c>
      <c r="K650" s="3">
        <v>3539.36</v>
      </c>
      <c r="L650" s="3">
        <v>482.64</v>
      </c>
      <c r="M650" s="3">
        <v>0</v>
      </c>
      <c r="N650" s="4" t="s">
        <v>126</v>
      </c>
      <c r="O650" s="3" t="str">
        <f t="shared" si="27"/>
        <v>Offline - Box Office</v>
      </c>
      <c r="P650" s="11">
        <v>9623000</v>
      </c>
      <c r="Q650" s="3">
        <v>5914500000</v>
      </c>
      <c r="R650" s="3">
        <v>3944500000</v>
      </c>
      <c r="S650" s="11">
        <v>14900000</v>
      </c>
    </row>
    <row r="651" spans="1:19" x14ac:dyDescent="0.35">
      <c r="A651" s="1" t="s">
        <v>23</v>
      </c>
      <c r="B651" s="1" t="str">
        <f t="shared" si="26"/>
        <v>Axis Bank</v>
      </c>
      <c r="C651">
        <v>27</v>
      </c>
      <c r="D651">
        <v>27</v>
      </c>
      <c r="E651">
        <v>72</v>
      </c>
      <c r="F651" s="2">
        <v>25590.9</v>
      </c>
      <c r="G651" s="2">
        <v>22575</v>
      </c>
      <c r="H651" s="2">
        <v>0</v>
      </c>
      <c r="I651" s="2">
        <v>20378.3</v>
      </c>
      <c r="J651" s="2">
        <v>5212.6000000000004</v>
      </c>
      <c r="K651" s="3">
        <v>4430.71</v>
      </c>
      <c r="L651" s="3">
        <v>781.89</v>
      </c>
      <c r="M651" s="3">
        <v>2955.9</v>
      </c>
      <c r="N651" s="4" t="s">
        <v>126</v>
      </c>
      <c r="O651" s="3" t="str">
        <f t="shared" si="27"/>
        <v>Online</v>
      </c>
      <c r="P651" s="11">
        <v>9623000</v>
      </c>
      <c r="Q651" s="3">
        <v>5914500000</v>
      </c>
      <c r="R651" s="3">
        <v>3944500000</v>
      </c>
      <c r="S651" s="11">
        <v>14900000</v>
      </c>
    </row>
    <row r="652" spans="1:19" x14ac:dyDescent="0.35">
      <c r="A652" s="1" t="s">
        <v>44</v>
      </c>
      <c r="B652" s="1" t="str">
        <f t="shared" si="26"/>
        <v>Axis Bank</v>
      </c>
      <c r="C652">
        <v>257</v>
      </c>
      <c r="D652">
        <v>257</v>
      </c>
      <c r="E652">
        <v>715</v>
      </c>
      <c r="F652" s="2">
        <v>176872.09</v>
      </c>
      <c r="G652" s="2">
        <v>176872.09</v>
      </c>
      <c r="H652" s="2">
        <v>0</v>
      </c>
      <c r="I652" s="2">
        <v>128259.11</v>
      </c>
      <c r="J652" s="2">
        <v>48612.98</v>
      </c>
      <c r="K652" s="3">
        <v>42779.35</v>
      </c>
      <c r="L652" s="3">
        <v>5833.63</v>
      </c>
      <c r="M652" s="3">
        <v>0</v>
      </c>
      <c r="N652" s="4" t="s">
        <v>126</v>
      </c>
      <c r="O652" s="3" t="str">
        <f t="shared" si="27"/>
        <v>Offline - Box Office</v>
      </c>
      <c r="P652" s="11">
        <v>9623000</v>
      </c>
      <c r="Q652" s="3">
        <v>5914500000</v>
      </c>
      <c r="R652" s="3">
        <v>3944500000</v>
      </c>
      <c r="S652" s="11">
        <v>14900000</v>
      </c>
    </row>
    <row r="653" spans="1:19" x14ac:dyDescent="0.35">
      <c r="A653" s="1" t="s">
        <v>24</v>
      </c>
      <c r="B653" s="1" t="str">
        <f t="shared" si="26"/>
        <v>Axis Bank</v>
      </c>
      <c r="C653">
        <v>931</v>
      </c>
      <c r="D653">
        <v>931</v>
      </c>
      <c r="E653">
        <v>2177</v>
      </c>
      <c r="F653" s="2">
        <v>605977.69999999995</v>
      </c>
      <c r="G653" s="2">
        <v>529205.88</v>
      </c>
      <c r="H653" s="2">
        <v>580</v>
      </c>
      <c r="I653" s="2">
        <v>430165.25</v>
      </c>
      <c r="J653" s="2">
        <v>175812.45</v>
      </c>
      <c r="K653" s="3">
        <v>149440.53</v>
      </c>
      <c r="L653" s="3">
        <v>26371.919999999998</v>
      </c>
      <c r="M653" s="3">
        <v>74429.820000000007</v>
      </c>
      <c r="N653" s="4" t="s">
        <v>126</v>
      </c>
      <c r="O653" s="3" t="str">
        <f t="shared" si="27"/>
        <v>Online</v>
      </c>
      <c r="P653" s="11">
        <v>9623000</v>
      </c>
      <c r="Q653" s="3">
        <v>5914500000</v>
      </c>
      <c r="R653" s="3">
        <v>3944500000</v>
      </c>
      <c r="S653" s="11">
        <v>14900000</v>
      </c>
    </row>
    <row r="654" spans="1:19" x14ac:dyDescent="0.35">
      <c r="A654" s="1" t="s">
        <v>54</v>
      </c>
      <c r="B654" s="1" t="str">
        <f t="shared" si="26"/>
        <v>BOB Card</v>
      </c>
      <c r="C654">
        <v>38</v>
      </c>
      <c r="D654">
        <v>0</v>
      </c>
      <c r="E654">
        <v>63</v>
      </c>
      <c r="F654" s="2">
        <v>36328.720000000001</v>
      </c>
      <c r="G654" s="2">
        <v>30957.200000000001</v>
      </c>
      <c r="H654" s="2">
        <v>4800</v>
      </c>
      <c r="I654" s="2">
        <v>33094.720000000001</v>
      </c>
      <c r="J654" s="2">
        <v>3234</v>
      </c>
      <c r="K654" s="3">
        <v>2263.8000000000002</v>
      </c>
      <c r="L654" s="3">
        <v>970.2</v>
      </c>
      <c r="M654" s="3">
        <v>547.52</v>
      </c>
      <c r="N654" s="4" t="s">
        <v>126</v>
      </c>
      <c r="O654" s="3" t="str">
        <f t="shared" si="27"/>
        <v>Online</v>
      </c>
      <c r="P654" s="11">
        <v>9623000</v>
      </c>
      <c r="Q654" s="3">
        <v>5914500000</v>
      </c>
      <c r="R654" s="3">
        <v>3944500000</v>
      </c>
      <c r="S654" s="11">
        <v>14900000</v>
      </c>
    </row>
    <row r="655" spans="1:19" x14ac:dyDescent="0.35">
      <c r="A655" s="1" t="s">
        <v>55</v>
      </c>
      <c r="B655" s="1" t="str">
        <f t="shared" si="26"/>
        <v>BOB Card</v>
      </c>
      <c r="C655">
        <v>749</v>
      </c>
      <c r="D655">
        <v>0</v>
      </c>
      <c r="E655">
        <v>2365</v>
      </c>
      <c r="F655" s="2">
        <v>714425.68</v>
      </c>
      <c r="G655" s="2">
        <v>0</v>
      </c>
      <c r="H655" s="2">
        <v>714425.68</v>
      </c>
      <c r="I655" s="2">
        <v>644978.68000000005</v>
      </c>
      <c r="J655" s="2">
        <v>69447</v>
      </c>
      <c r="K655" s="3">
        <v>48612.9</v>
      </c>
      <c r="L655" s="3">
        <v>20834.099999999999</v>
      </c>
      <c r="M655" s="3">
        <v>0</v>
      </c>
      <c r="N655" s="4" t="s">
        <v>126</v>
      </c>
      <c r="O655" s="3" t="str">
        <f t="shared" si="27"/>
        <v>Offline - F&amp;B</v>
      </c>
      <c r="P655" s="11">
        <v>9623000</v>
      </c>
      <c r="Q655" s="3">
        <v>5914500000</v>
      </c>
      <c r="R655" s="3">
        <v>3944500000</v>
      </c>
      <c r="S655" s="11">
        <v>14900000</v>
      </c>
    </row>
    <row r="656" spans="1:19" x14ac:dyDescent="0.35">
      <c r="A656" s="1" t="s">
        <v>119</v>
      </c>
      <c r="B656" s="1" t="str">
        <f t="shared" si="26"/>
        <v>AU Bank</v>
      </c>
      <c r="C656">
        <v>38</v>
      </c>
      <c r="D656">
        <v>38</v>
      </c>
      <c r="E656">
        <v>122</v>
      </c>
      <c r="F656" s="2">
        <v>42744</v>
      </c>
      <c r="G656" s="2">
        <v>42744</v>
      </c>
      <c r="H656" s="2">
        <v>0</v>
      </c>
      <c r="I656" s="2">
        <v>33898</v>
      </c>
      <c r="J656" s="2">
        <v>8846</v>
      </c>
      <c r="K656" s="3">
        <v>6192.2</v>
      </c>
      <c r="L656" s="3">
        <v>2653.8</v>
      </c>
      <c r="M656" s="3">
        <v>0</v>
      </c>
      <c r="N656" s="4" t="s">
        <v>126</v>
      </c>
      <c r="O656" s="3" t="str">
        <f t="shared" si="27"/>
        <v>Offline - Box Office</v>
      </c>
      <c r="P656" s="11">
        <v>9623000</v>
      </c>
      <c r="Q656" s="3">
        <v>5914500000</v>
      </c>
      <c r="R656" s="3">
        <v>3944500000</v>
      </c>
      <c r="S656" s="11">
        <v>14900000</v>
      </c>
    </row>
    <row r="657" spans="1:19" x14ac:dyDescent="0.35">
      <c r="A657" s="1" t="s">
        <v>120</v>
      </c>
      <c r="B657" s="1" t="str">
        <f t="shared" si="26"/>
        <v>AU Bank</v>
      </c>
      <c r="C657">
        <v>59</v>
      </c>
      <c r="D657">
        <v>59</v>
      </c>
      <c r="E657">
        <v>138</v>
      </c>
      <c r="F657" s="2">
        <v>47423.54</v>
      </c>
      <c r="G657" s="2">
        <v>41437.599999999999</v>
      </c>
      <c r="H657" s="2">
        <v>420</v>
      </c>
      <c r="I657" s="2">
        <v>33897.74</v>
      </c>
      <c r="J657" s="2">
        <v>13525.8</v>
      </c>
      <c r="K657" s="3">
        <v>9468.06</v>
      </c>
      <c r="L657" s="3">
        <v>4057.74</v>
      </c>
      <c r="M657" s="3">
        <v>5451.94</v>
      </c>
      <c r="N657" s="4" t="s">
        <v>126</v>
      </c>
      <c r="O657" s="3" t="str">
        <f t="shared" si="27"/>
        <v>Online</v>
      </c>
      <c r="P657" s="11">
        <v>9623000</v>
      </c>
      <c r="Q657" s="3">
        <v>5914500000</v>
      </c>
      <c r="R657" s="3">
        <v>3944500000</v>
      </c>
      <c r="S657" s="11">
        <v>14900000</v>
      </c>
    </row>
    <row r="658" spans="1:19" x14ac:dyDescent="0.35">
      <c r="A658" s="1" t="s">
        <v>73</v>
      </c>
      <c r="B658" s="1" t="str">
        <f t="shared" si="26"/>
        <v>Federal Bank</v>
      </c>
      <c r="C658">
        <v>1013</v>
      </c>
      <c r="D658">
        <v>1013</v>
      </c>
      <c r="E658">
        <v>2937</v>
      </c>
      <c r="F658" s="2">
        <v>711678.43</v>
      </c>
      <c r="G658" s="2">
        <v>711678.43</v>
      </c>
      <c r="H658" s="2">
        <v>0</v>
      </c>
      <c r="I658" s="2">
        <v>610490.49</v>
      </c>
      <c r="J658" s="2">
        <v>101187.94</v>
      </c>
      <c r="K658" s="3">
        <v>80950.36</v>
      </c>
      <c r="L658" s="3">
        <v>20237.580000000002</v>
      </c>
      <c r="M658" s="3">
        <v>0</v>
      </c>
      <c r="N658" s="4" t="s">
        <v>126</v>
      </c>
      <c r="O658" s="3" t="str">
        <f t="shared" si="27"/>
        <v>Offline - Box Office</v>
      </c>
      <c r="P658" s="11">
        <v>9623000</v>
      </c>
      <c r="Q658" s="3">
        <v>5914500000</v>
      </c>
      <c r="R658" s="3">
        <v>3944500000</v>
      </c>
      <c r="S658" s="11">
        <v>14900000</v>
      </c>
    </row>
    <row r="659" spans="1:19" x14ac:dyDescent="0.35">
      <c r="A659" s="1" t="s">
        <v>74</v>
      </c>
      <c r="B659" s="1" t="str">
        <f t="shared" si="26"/>
        <v>Federal Bank</v>
      </c>
      <c r="C659">
        <v>1030</v>
      </c>
      <c r="D659">
        <v>1030</v>
      </c>
      <c r="E659">
        <v>2593</v>
      </c>
      <c r="F659" s="2">
        <v>663448.54</v>
      </c>
      <c r="G659" s="2">
        <v>567880.69999999995</v>
      </c>
      <c r="H659" s="2">
        <v>5191</v>
      </c>
      <c r="I659" s="2">
        <v>561558.74</v>
      </c>
      <c r="J659" s="2">
        <v>101889.8</v>
      </c>
      <c r="K659" s="3">
        <v>81511.899999999994</v>
      </c>
      <c r="L659" s="3">
        <v>20377.900000000001</v>
      </c>
      <c r="M659" s="3">
        <v>88382.84</v>
      </c>
      <c r="N659" s="4" t="s">
        <v>126</v>
      </c>
      <c r="O659" s="3" t="str">
        <f t="shared" si="27"/>
        <v>Online</v>
      </c>
      <c r="P659" s="11">
        <v>9623000</v>
      </c>
      <c r="Q659" s="3">
        <v>5914500000</v>
      </c>
      <c r="R659" s="3">
        <v>3944500000</v>
      </c>
      <c r="S659" s="11">
        <v>14900000</v>
      </c>
    </row>
    <row r="660" spans="1:19" x14ac:dyDescent="0.35">
      <c r="A660" s="1" t="s">
        <v>27</v>
      </c>
      <c r="B660" s="1" t="str">
        <f t="shared" si="26"/>
        <v>Federal Bank</v>
      </c>
      <c r="C660">
        <v>89</v>
      </c>
      <c r="D660">
        <v>89</v>
      </c>
      <c r="E660">
        <v>250</v>
      </c>
      <c r="F660" s="2">
        <v>70449.27</v>
      </c>
      <c r="G660" s="2">
        <v>70449.27</v>
      </c>
      <c r="H660" s="2">
        <v>0</v>
      </c>
      <c r="I660" s="2">
        <v>61551.27</v>
      </c>
      <c r="J660" s="2">
        <v>8898</v>
      </c>
      <c r="K660" s="3">
        <v>8898</v>
      </c>
      <c r="L660" s="3">
        <v>0</v>
      </c>
      <c r="M660" s="3">
        <v>0</v>
      </c>
      <c r="N660" s="4" t="s">
        <v>126</v>
      </c>
      <c r="O660" s="3" t="str">
        <f t="shared" si="27"/>
        <v>Offline - Box Office</v>
      </c>
      <c r="P660" s="11">
        <v>9623000</v>
      </c>
      <c r="Q660" s="3">
        <v>5914500000</v>
      </c>
      <c r="R660" s="3">
        <v>3944500000</v>
      </c>
      <c r="S660" s="11">
        <v>14900000</v>
      </c>
    </row>
    <row r="661" spans="1:19" x14ac:dyDescent="0.35">
      <c r="A661" s="1" t="s">
        <v>28</v>
      </c>
      <c r="B661" s="1" t="str">
        <f t="shared" si="26"/>
        <v>Federal Bank</v>
      </c>
      <c r="C661">
        <v>151</v>
      </c>
      <c r="D661">
        <v>151</v>
      </c>
      <c r="E661">
        <v>382</v>
      </c>
      <c r="F661" s="2">
        <v>113400.65</v>
      </c>
      <c r="G661" s="2">
        <v>96727.97</v>
      </c>
      <c r="H661" s="2">
        <v>2040</v>
      </c>
      <c r="I661" s="2">
        <v>98312.65</v>
      </c>
      <c r="J661" s="2">
        <v>15088</v>
      </c>
      <c r="K661" s="3">
        <v>15088</v>
      </c>
      <c r="L661" s="3">
        <v>0</v>
      </c>
      <c r="M661" s="3">
        <v>14240.68</v>
      </c>
      <c r="N661" s="4" t="s">
        <v>126</v>
      </c>
      <c r="O661" s="3" t="str">
        <f t="shared" si="27"/>
        <v>Online</v>
      </c>
      <c r="P661" s="11">
        <v>9623000</v>
      </c>
      <c r="Q661" s="3">
        <v>5914500000</v>
      </c>
      <c r="R661" s="3">
        <v>3944500000</v>
      </c>
      <c r="S661" s="11">
        <v>14900000</v>
      </c>
    </row>
    <row r="662" spans="1:19" x14ac:dyDescent="0.35">
      <c r="A662" s="1" t="s">
        <v>29</v>
      </c>
      <c r="B662" s="1" t="str">
        <f t="shared" si="26"/>
        <v>Federal Bank</v>
      </c>
      <c r="C662">
        <v>342</v>
      </c>
      <c r="D662">
        <v>342</v>
      </c>
      <c r="E662">
        <v>1009</v>
      </c>
      <c r="F662" s="2">
        <v>249602.29</v>
      </c>
      <c r="G662" s="2">
        <v>249602.29</v>
      </c>
      <c r="H662" s="2">
        <v>0</v>
      </c>
      <c r="I662" s="2">
        <v>215615.63</v>
      </c>
      <c r="J662" s="2">
        <v>33986.660000000003</v>
      </c>
      <c r="K662" s="3">
        <v>33986.660000000003</v>
      </c>
      <c r="L662" s="3">
        <v>0</v>
      </c>
      <c r="M662" s="3">
        <v>0</v>
      </c>
      <c r="N662" s="4" t="s">
        <v>126</v>
      </c>
      <c r="O662" s="3" t="str">
        <f t="shared" si="27"/>
        <v>Offline - Box Office</v>
      </c>
      <c r="P662" s="11">
        <v>9623000</v>
      </c>
      <c r="Q662" s="3">
        <v>5914500000</v>
      </c>
      <c r="R662" s="3">
        <v>3944500000</v>
      </c>
      <c r="S662" s="11">
        <v>14900000</v>
      </c>
    </row>
    <row r="663" spans="1:19" x14ac:dyDescent="0.35">
      <c r="A663" s="1" t="s">
        <v>30</v>
      </c>
      <c r="B663" s="1" t="str">
        <f t="shared" ref="B663:B726" si="28">IF(ISNUMBER(SEARCH("AXIS",A663)),"Axis Bank",
IF(ISNUMBER(SEARCH("HDFC",A663)),"HDFC Bank",
IF(ISNUMBER(SEARCH("ICICI",A663)),"ICICI Bank",
IF(ISNUMBER(SEARCH("AU",A663)),"AU Bank",
IF(ISNUMBER(SEARCH("KOTAK",A663)),"Kotak Mahindra Bank",
IF(ISNUMBER(SEARCH("SBI",A663)),"State Bank of India",
IF(ISNUMBER(SEARCH("HSBC",A663)),"HSBC",
IF(ISNUMBER(SEARCH("DBS",A663)),"DBS Bank",
IF(ISNUMBER(SEARCH("SCAPIA",A663)),"Scapia",
IF(ISNUMBER(SEARCH("STANDARD CHARTERED",A663)),"Standard Chartered Bank",
IF(ISNUMBER(SEARCH("IDBI",A663)),"IDBI Bank",
IF(ISNUMBER(SEARCH("J&amp;K",A663)),"J&amp;K Bank",
IF(ISNUMBER(SEARCH("JAMMU",A663)),"J&amp;K Bank",
IF(ISNUMBER(SEARCH("FEDERAL",A663)),"Federal Bank",
IF(ISNUMBER(SEARCH("BOBCARD",A663)),"BOB Card",
IF(ISNUMBER(SEARCH("BANK OF BARODA",A663)),"BOB Card",
IF(ISNUMBER(SEARCH("AMEX",A663)),"American Express",
IF(ISNUMBER(SEARCH("PLATINUM",A663)),"American Express",
IF(ISNUMBER(SEARCH("CENTURION",A663)),"American Express",
IF(ISNUMBER(SEARCH("VISA",A663)),"Visa",
IF(ISNUMBER(SEARCH("MASTERCARD",A663)),"Mastercard",
"")))))))))))))))))))))</f>
        <v>Federal Bank</v>
      </c>
      <c r="C663">
        <v>345</v>
      </c>
      <c r="D663">
        <v>345</v>
      </c>
      <c r="E663">
        <v>813</v>
      </c>
      <c r="F663" s="2">
        <v>215049.33</v>
      </c>
      <c r="G663" s="2">
        <v>185358.37</v>
      </c>
      <c r="H663" s="2">
        <v>750</v>
      </c>
      <c r="I663" s="2">
        <v>180879.48</v>
      </c>
      <c r="J663" s="2">
        <v>34169.85</v>
      </c>
      <c r="K663" s="3">
        <v>34169.85</v>
      </c>
      <c r="L663" s="3">
        <v>0</v>
      </c>
      <c r="M663" s="3">
        <v>28252.959999999999</v>
      </c>
      <c r="N663" s="4" t="s">
        <v>126</v>
      </c>
      <c r="O663" s="3" t="str">
        <f t="shared" si="27"/>
        <v>Online</v>
      </c>
      <c r="P663" s="11">
        <v>9623000</v>
      </c>
      <c r="Q663" s="3">
        <v>5914500000</v>
      </c>
      <c r="R663" s="3">
        <v>3944500000</v>
      </c>
      <c r="S663" s="11">
        <v>14900000</v>
      </c>
    </row>
    <row r="664" spans="1:19" x14ac:dyDescent="0.35">
      <c r="A664" s="1" t="s">
        <v>121</v>
      </c>
      <c r="B664" s="1" t="str">
        <f t="shared" si="28"/>
        <v>AU Bank</v>
      </c>
      <c r="C664">
        <v>181</v>
      </c>
      <c r="D664">
        <v>0</v>
      </c>
      <c r="E664">
        <v>659</v>
      </c>
      <c r="F664" s="2">
        <v>197258.92</v>
      </c>
      <c r="G664" s="2">
        <v>197258.92</v>
      </c>
      <c r="H664" s="2">
        <v>0</v>
      </c>
      <c r="I664" s="2">
        <v>172060.92</v>
      </c>
      <c r="J664" s="2">
        <v>25198</v>
      </c>
      <c r="K664" s="3">
        <v>17638.599999999999</v>
      </c>
      <c r="L664" s="3">
        <v>7559.4</v>
      </c>
      <c r="M664" s="3">
        <v>0</v>
      </c>
      <c r="N664" s="4" t="s">
        <v>126</v>
      </c>
      <c r="O664" s="3" t="str">
        <f t="shared" si="27"/>
        <v>Offline - Box Office</v>
      </c>
      <c r="P664" s="11">
        <v>9623000</v>
      </c>
      <c r="Q664" s="3">
        <v>5914500000</v>
      </c>
      <c r="R664" s="3">
        <v>3944500000</v>
      </c>
      <c r="S664" s="11">
        <v>14900000</v>
      </c>
    </row>
    <row r="665" spans="1:19" x14ac:dyDescent="0.35">
      <c r="A665" s="1" t="s">
        <v>122</v>
      </c>
      <c r="B665" s="1" t="str">
        <f t="shared" si="28"/>
        <v>AU Bank</v>
      </c>
      <c r="C665">
        <v>77</v>
      </c>
      <c r="D665">
        <v>0</v>
      </c>
      <c r="E665">
        <v>221</v>
      </c>
      <c r="F665" s="2">
        <v>86869.62</v>
      </c>
      <c r="G665" s="2">
        <v>73740.92</v>
      </c>
      <c r="H665" s="2">
        <v>2790</v>
      </c>
      <c r="I665" s="2">
        <v>75877.62</v>
      </c>
      <c r="J665" s="2">
        <v>10992</v>
      </c>
      <c r="K665" s="3">
        <v>7694.4</v>
      </c>
      <c r="L665" s="3">
        <v>3297.6</v>
      </c>
      <c r="M665" s="3">
        <v>10110.700000000001</v>
      </c>
      <c r="N665" s="4" t="s">
        <v>126</v>
      </c>
      <c r="O665" s="3" t="str">
        <f t="shared" si="27"/>
        <v>Online</v>
      </c>
      <c r="P665" s="11">
        <v>9623000</v>
      </c>
      <c r="Q665" s="3">
        <v>5914500000</v>
      </c>
      <c r="R665" s="3">
        <v>3944500000</v>
      </c>
      <c r="S665" s="11">
        <v>14900000</v>
      </c>
    </row>
    <row r="666" spans="1:19" x14ac:dyDescent="0.35">
      <c r="A666" s="1" t="s">
        <v>123</v>
      </c>
      <c r="B666" s="1" t="str">
        <f t="shared" si="28"/>
        <v>AU Bank</v>
      </c>
      <c r="C666">
        <v>251</v>
      </c>
      <c r="D666">
        <v>0</v>
      </c>
      <c r="E666">
        <v>864</v>
      </c>
      <c r="F666" s="2">
        <v>244763.67</v>
      </c>
      <c r="G666" s="2">
        <v>244763.67</v>
      </c>
      <c r="H666" s="2">
        <v>0</v>
      </c>
      <c r="I666" s="2">
        <v>219663.67</v>
      </c>
      <c r="J666" s="2">
        <v>25100</v>
      </c>
      <c r="K666" s="3">
        <v>17570</v>
      </c>
      <c r="L666" s="3">
        <v>7530</v>
      </c>
      <c r="M666" s="3">
        <v>0</v>
      </c>
      <c r="N666" s="4" t="s">
        <v>126</v>
      </c>
      <c r="O666" s="3" t="str">
        <f t="shared" si="27"/>
        <v>Offline - Box Office</v>
      </c>
      <c r="P666" s="11">
        <v>9623000</v>
      </c>
      <c r="Q666" s="3">
        <v>5914500000</v>
      </c>
      <c r="R666" s="3">
        <v>3944500000</v>
      </c>
      <c r="S666" s="11">
        <v>14900000</v>
      </c>
    </row>
    <row r="667" spans="1:19" x14ac:dyDescent="0.35">
      <c r="A667" s="1" t="s">
        <v>124</v>
      </c>
      <c r="B667" s="1" t="str">
        <f t="shared" si="28"/>
        <v>AU Bank</v>
      </c>
      <c r="C667">
        <v>58</v>
      </c>
      <c r="D667">
        <v>0</v>
      </c>
      <c r="E667">
        <v>146</v>
      </c>
      <c r="F667" s="2">
        <v>52829.94</v>
      </c>
      <c r="G667" s="2">
        <v>45795</v>
      </c>
      <c r="H667" s="2">
        <v>550</v>
      </c>
      <c r="I667" s="2">
        <v>47029.94</v>
      </c>
      <c r="J667" s="2">
        <v>5800</v>
      </c>
      <c r="K667" s="3">
        <v>4060</v>
      </c>
      <c r="L667" s="3">
        <v>1740</v>
      </c>
      <c r="M667" s="3">
        <v>6368.94</v>
      </c>
      <c r="N667" s="4" t="s">
        <v>126</v>
      </c>
      <c r="O667" s="3" t="str">
        <f t="shared" si="27"/>
        <v>Online</v>
      </c>
      <c r="P667" s="11">
        <v>9623000</v>
      </c>
      <c r="Q667" s="3">
        <v>5914500000</v>
      </c>
      <c r="R667" s="3">
        <v>3944500000</v>
      </c>
      <c r="S667" s="11">
        <v>14900000</v>
      </c>
    </row>
    <row r="668" spans="1:19" x14ac:dyDescent="0.35">
      <c r="A668" s="1" t="s">
        <v>32</v>
      </c>
      <c r="B668" s="1" t="str">
        <f t="shared" si="28"/>
        <v>ICICI Bank</v>
      </c>
      <c r="C668">
        <v>4073</v>
      </c>
      <c r="D668">
        <v>0</v>
      </c>
      <c r="E668">
        <v>11996</v>
      </c>
      <c r="F668" s="2">
        <v>3052445.87</v>
      </c>
      <c r="G668" s="2">
        <v>3052445.87</v>
      </c>
      <c r="H668" s="2">
        <v>0</v>
      </c>
      <c r="I668" s="2">
        <v>2634217.87</v>
      </c>
      <c r="J668" s="2">
        <v>418228</v>
      </c>
      <c r="K668" s="3">
        <v>368040.64</v>
      </c>
      <c r="L668" s="3">
        <v>50187.360000000001</v>
      </c>
      <c r="M668" s="3">
        <v>0</v>
      </c>
      <c r="N668" s="4" t="s">
        <v>126</v>
      </c>
      <c r="O668" s="3" t="str">
        <f t="shared" si="27"/>
        <v>Offline - Box Office</v>
      </c>
      <c r="P668" s="11">
        <v>9623000</v>
      </c>
      <c r="Q668" s="3">
        <v>5914500000</v>
      </c>
      <c r="R668" s="3">
        <v>3944500000</v>
      </c>
      <c r="S668" s="11">
        <v>14900000</v>
      </c>
    </row>
    <row r="669" spans="1:19" x14ac:dyDescent="0.35">
      <c r="A669" s="1" t="s">
        <v>33</v>
      </c>
      <c r="B669" s="1" t="str">
        <f t="shared" si="28"/>
        <v>ICICI Bank</v>
      </c>
      <c r="C669">
        <v>1519</v>
      </c>
      <c r="D669">
        <v>0</v>
      </c>
      <c r="E669">
        <v>4194</v>
      </c>
      <c r="F669" s="2">
        <v>1249991.19</v>
      </c>
      <c r="G669" s="2">
        <v>1074265.47</v>
      </c>
      <c r="H669" s="2">
        <v>23770</v>
      </c>
      <c r="I669" s="2">
        <v>1089855.19</v>
      </c>
      <c r="J669" s="2">
        <v>160136</v>
      </c>
      <c r="K669" s="3">
        <v>136115.6</v>
      </c>
      <c r="L669" s="3">
        <v>24020.400000000001</v>
      </c>
      <c r="M669" s="3">
        <v>148347.72</v>
      </c>
      <c r="N669" s="4" t="s">
        <v>126</v>
      </c>
      <c r="O669" s="3" t="str">
        <f t="shared" si="27"/>
        <v>Online</v>
      </c>
      <c r="P669" s="11">
        <v>9623000</v>
      </c>
      <c r="Q669" s="3">
        <v>5914500000</v>
      </c>
      <c r="R669" s="3">
        <v>3944500000</v>
      </c>
      <c r="S669" s="11">
        <v>14900000</v>
      </c>
    </row>
    <row r="670" spans="1:19" x14ac:dyDescent="0.35">
      <c r="A670" s="1" t="s">
        <v>34</v>
      </c>
      <c r="B670" s="1" t="str">
        <f t="shared" si="28"/>
        <v>ICICI Bank</v>
      </c>
      <c r="C670">
        <v>466</v>
      </c>
      <c r="D670">
        <v>0</v>
      </c>
      <c r="E670">
        <v>1340</v>
      </c>
      <c r="F670" s="2">
        <v>361340.12</v>
      </c>
      <c r="G670" s="2">
        <v>361340.12</v>
      </c>
      <c r="H670" s="2">
        <v>0</v>
      </c>
      <c r="I670" s="2">
        <v>336464.12</v>
      </c>
      <c r="J670" s="2">
        <v>24876</v>
      </c>
      <c r="K670" s="3">
        <v>21890.880000000001</v>
      </c>
      <c r="L670" s="3">
        <v>2985.12</v>
      </c>
      <c r="M670" s="3">
        <v>0</v>
      </c>
      <c r="N670" s="4" t="s">
        <v>126</v>
      </c>
      <c r="O670" s="3" t="str">
        <f t="shared" si="27"/>
        <v>Offline - Box Office</v>
      </c>
      <c r="P670" s="11">
        <v>9623000</v>
      </c>
      <c r="Q670" s="3">
        <v>5914500000</v>
      </c>
      <c r="R670" s="3">
        <v>3944500000</v>
      </c>
      <c r="S670" s="11">
        <v>14900000</v>
      </c>
    </row>
    <row r="671" spans="1:19" x14ac:dyDescent="0.35">
      <c r="A671" s="1" t="s">
        <v>35</v>
      </c>
      <c r="B671" s="1" t="str">
        <f t="shared" si="28"/>
        <v>ICICI Bank</v>
      </c>
      <c r="C671">
        <v>122</v>
      </c>
      <c r="D671">
        <v>0</v>
      </c>
      <c r="E671">
        <v>334</v>
      </c>
      <c r="F671" s="2">
        <v>101865.57</v>
      </c>
      <c r="G671" s="2">
        <v>88809.31</v>
      </c>
      <c r="H671" s="2">
        <v>770</v>
      </c>
      <c r="I671" s="2">
        <v>95147.57</v>
      </c>
      <c r="J671" s="2">
        <v>6718</v>
      </c>
      <c r="K671" s="3">
        <v>5710.3</v>
      </c>
      <c r="L671" s="3">
        <v>1007.7</v>
      </c>
      <c r="M671" s="3">
        <v>11972.26</v>
      </c>
      <c r="N671" s="4" t="s">
        <v>126</v>
      </c>
      <c r="O671" s="3" t="str">
        <f t="shared" si="27"/>
        <v>Online</v>
      </c>
      <c r="P671" s="11">
        <v>9623000</v>
      </c>
      <c r="Q671" s="3">
        <v>5914500000</v>
      </c>
      <c r="R671" s="3">
        <v>3944500000</v>
      </c>
      <c r="S671" s="11">
        <v>14900000</v>
      </c>
    </row>
    <row r="672" spans="1:19" x14ac:dyDescent="0.35">
      <c r="A672" s="1" t="s">
        <v>110</v>
      </c>
      <c r="B672" s="1" t="str">
        <f t="shared" si="28"/>
        <v>IDBI Bank</v>
      </c>
      <c r="C672">
        <v>173</v>
      </c>
      <c r="D672">
        <v>0</v>
      </c>
      <c r="E672">
        <v>698</v>
      </c>
      <c r="F672" s="2">
        <v>226604.32</v>
      </c>
      <c r="G672" s="2">
        <v>226604.32</v>
      </c>
      <c r="H672" s="2">
        <v>0</v>
      </c>
      <c r="I672" s="2">
        <v>201905.32</v>
      </c>
      <c r="J672" s="2">
        <v>24699</v>
      </c>
      <c r="K672" s="3">
        <v>23464.05</v>
      </c>
      <c r="L672" s="3">
        <v>1234.95</v>
      </c>
      <c r="M672" s="3">
        <v>0</v>
      </c>
      <c r="N672" s="4" t="s">
        <v>126</v>
      </c>
      <c r="O672" s="3" t="str">
        <f t="shared" si="27"/>
        <v>Offline - Box Office</v>
      </c>
      <c r="P672" s="11">
        <v>9623000</v>
      </c>
      <c r="Q672" s="3">
        <v>5914500000</v>
      </c>
      <c r="R672" s="3">
        <v>3944500000</v>
      </c>
      <c r="S672" s="11">
        <v>14900000</v>
      </c>
    </row>
    <row r="673" spans="1:19" x14ac:dyDescent="0.35">
      <c r="A673" s="1" t="s">
        <v>111</v>
      </c>
      <c r="B673" s="1" t="str">
        <f t="shared" si="28"/>
        <v>IDBI Bank</v>
      </c>
      <c r="C673">
        <v>115</v>
      </c>
      <c r="D673">
        <v>0</v>
      </c>
      <c r="E673">
        <v>420</v>
      </c>
      <c r="F673" s="2">
        <v>157872.82</v>
      </c>
      <c r="G673" s="2">
        <v>136431.76</v>
      </c>
      <c r="H673" s="2">
        <v>3900</v>
      </c>
      <c r="I673" s="2">
        <v>141504.82</v>
      </c>
      <c r="J673" s="2">
        <v>16368</v>
      </c>
      <c r="K673" s="3">
        <v>16368</v>
      </c>
      <c r="L673" s="3">
        <v>0</v>
      </c>
      <c r="M673" s="3">
        <v>17189.060000000001</v>
      </c>
      <c r="N673" s="4" t="s">
        <v>126</v>
      </c>
      <c r="O673" s="3" t="str">
        <f t="shared" si="27"/>
        <v>Online</v>
      </c>
      <c r="P673" s="11">
        <v>9623000</v>
      </c>
      <c r="Q673" s="3">
        <v>5914500000</v>
      </c>
      <c r="R673" s="3">
        <v>3944500000</v>
      </c>
      <c r="S673" s="11">
        <v>14900000</v>
      </c>
    </row>
    <row r="674" spans="1:19" x14ac:dyDescent="0.35">
      <c r="A674" s="1" t="s">
        <v>112</v>
      </c>
      <c r="B674" s="1" t="str">
        <f t="shared" si="28"/>
        <v>IDBI Bank</v>
      </c>
      <c r="C674">
        <v>282</v>
      </c>
      <c r="D674">
        <v>0</v>
      </c>
      <c r="E674">
        <v>1255</v>
      </c>
      <c r="F674" s="2">
        <v>360359.23</v>
      </c>
      <c r="G674" s="2">
        <v>0</v>
      </c>
      <c r="H674" s="2">
        <v>360359.23</v>
      </c>
      <c r="I674" s="2">
        <v>319959.23</v>
      </c>
      <c r="J674" s="2">
        <v>40400</v>
      </c>
      <c r="K674" s="3">
        <v>28280</v>
      </c>
      <c r="L674" s="3">
        <v>12120</v>
      </c>
      <c r="M674" s="3">
        <v>0</v>
      </c>
      <c r="N674" s="4" t="s">
        <v>126</v>
      </c>
      <c r="O674" s="3" t="str">
        <f t="shared" si="27"/>
        <v>Offline - F&amp;B</v>
      </c>
      <c r="P674" s="11">
        <v>9623000</v>
      </c>
      <c r="Q674" s="3">
        <v>5914500000</v>
      </c>
      <c r="R674" s="3">
        <v>3944500000</v>
      </c>
      <c r="S674" s="11">
        <v>14900000</v>
      </c>
    </row>
    <row r="675" spans="1:19" x14ac:dyDescent="0.35">
      <c r="A675" s="1" t="s">
        <v>87</v>
      </c>
      <c r="B675" s="1" t="str">
        <f t="shared" si="28"/>
        <v>J&amp;K Bank</v>
      </c>
      <c r="C675">
        <v>20</v>
      </c>
      <c r="D675">
        <v>0</v>
      </c>
      <c r="E675">
        <v>51</v>
      </c>
      <c r="F675" s="2">
        <v>23498.66</v>
      </c>
      <c r="G675" s="2">
        <v>19550</v>
      </c>
      <c r="H675" s="2">
        <v>940</v>
      </c>
      <c r="I675" s="2">
        <v>14423.66</v>
      </c>
      <c r="J675" s="2">
        <v>9075</v>
      </c>
      <c r="K675" s="3">
        <v>9075</v>
      </c>
      <c r="L675" s="3">
        <v>0</v>
      </c>
      <c r="M675" s="3">
        <v>2934.66</v>
      </c>
      <c r="N675" s="4" t="s">
        <v>126</v>
      </c>
      <c r="O675" s="3" t="str">
        <f t="shared" si="27"/>
        <v>Online</v>
      </c>
      <c r="P675" s="11">
        <v>9623000</v>
      </c>
      <c r="Q675" s="3">
        <v>5914500000</v>
      </c>
      <c r="R675" s="3">
        <v>3944500000</v>
      </c>
      <c r="S675" s="11">
        <v>14900000</v>
      </c>
    </row>
    <row r="676" spans="1:19" x14ac:dyDescent="0.35">
      <c r="A676" s="1" t="s">
        <v>75</v>
      </c>
      <c r="B676" s="1" t="str">
        <f t="shared" si="28"/>
        <v>J&amp;K Bank</v>
      </c>
      <c r="C676">
        <v>31</v>
      </c>
      <c r="D676">
        <v>0</v>
      </c>
      <c r="E676">
        <v>95</v>
      </c>
      <c r="F676" s="2">
        <v>37608.36</v>
      </c>
      <c r="G676" s="2">
        <v>32904</v>
      </c>
      <c r="H676" s="2">
        <v>0</v>
      </c>
      <c r="I676" s="2">
        <v>23021.360000000001</v>
      </c>
      <c r="J676" s="2">
        <v>14587</v>
      </c>
      <c r="K676" s="3">
        <v>13857.65</v>
      </c>
      <c r="L676" s="3">
        <v>729.35</v>
      </c>
      <c r="M676" s="3">
        <v>4604.3599999999997</v>
      </c>
      <c r="N676" s="4" t="s">
        <v>126</v>
      </c>
      <c r="O676" s="3" t="str">
        <f t="shared" si="27"/>
        <v>Online</v>
      </c>
      <c r="P676" s="11">
        <v>9623000</v>
      </c>
      <c r="Q676" s="3">
        <v>5914500000</v>
      </c>
      <c r="R676" s="3">
        <v>3944500000</v>
      </c>
      <c r="S676" s="11">
        <v>14900000</v>
      </c>
    </row>
    <row r="677" spans="1:19" x14ac:dyDescent="0.35">
      <c r="A677" s="1" t="s">
        <v>98</v>
      </c>
      <c r="B677" s="1" t="str">
        <f t="shared" si="28"/>
        <v>J&amp;K Bank</v>
      </c>
      <c r="C677">
        <v>52</v>
      </c>
      <c r="D677">
        <v>0</v>
      </c>
      <c r="E677">
        <v>135</v>
      </c>
      <c r="F677" s="2">
        <v>57018.879999999997</v>
      </c>
      <c r="G677" s="2">
        <v>49370</v>
      </c>
      <c r="H677" s="2">
        <v>0</v>
      </c>
      <c r="I677" s="2">
        <v>33498.879999999997</v>
      </c>
      <c r="J677" s="2">
        <v>23520</v>
      </c>
      <c r="K677" s="3">
        <v>23520</v>
      </c>
      <c r="L677" s="3">
        <v>0</v>
      </c>
      <c r="M677" s="3">
        <v>7452.88</v>
      </c>
      <c r="N677" s="4" t="s">
        <v>126</v>
      </c>
      <c r="O677" s="3" t="str">
        <f t="shared" si="27"/>
        <v>Other</v>
      </c>
      <c r="P677" s="11">
        <v>9623000</v>
      </c>
      <c r="Q677" s="3">
        <v>5914500000</v>
      </c>
      <c r="R677" s="3">
        <v>3944500000</v>
      </c>
      <c r="S677" s="11">
        <v>14900000</v>
      </c>
    </row>
    <row r="678" spans="1:19" x14ac:dyDescent="0.35">
      <c r="A678" s="1" t="s">
        <v>88</v>
      </c>
      <c r="B678" s="1" t="str">
        <f t="shared" si="28"/>
        <v>J&amp;K Bank</v>
      </c>
      <c r="C678">
        <v>2</v>
      </c>
      <c r="D678">
        <v>0</v>
      </c>
      <c r="E678">
        <v>5</v>
      </c>
      <c r="F678" s="2">
        <v>1920</v>
      </c>
      <c r="G678" s="2">
        <v>1920</v>
      </c>
      <c r="H678" s="2">
        <v>0</v>
      </c>
      <c r="I678" s="2">
        <v>970</v>
      </c>
      <c r="J678" s="2">
        <v>950</v>
      </c>
      <c r="K678" s="3">
        <v>902.5</v>
      </c>
      <c r="L678" s="3">
        <v>47.5</v>
      </c>
      <c r="M678" s="3">
        <v>0</v>
      </c>
      <c r="N678" s="4" t="s">
        <v>126</v>
      </c>
      <c r="O678" s="3" t="str">
        <f t="shared" si="27"/>
        <v>Offline - Box Office</v>
      </c>
      <c r="P678" s="11">
        <v>9623000</v>
      </c>
      <c r="Q678" s="3">
        <v>5914500000</v>
      </c>
      <c r="R678" s="3">
        <v>3944500000</v>
      </c>
      <c r="S678" s="11">
        <v>14900000</v>
      </c>
    </row>
    <row r="679" spans="1:19" x14ac:dyDescent="0.35">
      <c r="A679" s="1" t="s">
        <v>77</v>
      </c>
      <c r="B679" s="1" t="str">
        <f t="shared" si="28"/>
        <v>J&amp;K Bank</v>
      </c>
      <c r="C679">
        <v>121</v>
      </c>
      <c r="D679">
        <v>0</v>
      </c>
      <c r="E679">
        <v>390</v>
      </c>
      <c r="F679" s="2">
        <v>152284.14000000001</v>
      </c>
      <c r="G679" s="2">
        <v>133117.4</v>
      </c>
      <c r="H679" s="2">
        <v>320</v>
      </c>
      <c r="I679" s="2">
        <v>95971.14</v>
      </c>
      <c r="J679" s="2">
        <v>56313</v>
      </c>
      <c r="K679" s="3">
        <v>53497.35</v>
      </c>
      <c r="L679" s="3">
        <v>2815.65</v>
      </c>
      <c r="M679" s="3">
        <v>18538.740000000002</v>
      </c>
      <c r="N679" s="4" t="s">
        <v>126</v>
      </c>
      <c r="O679" s="3" t="str">
        <f t="shared" si="27"/>
        <v>Online</v>
      </c>
      <c r="P679" s="11">
        <v>9623000</v>
      </c>
      <c r="Q679" s="3">
        <v>5914500000</v>
      </c>
      <c r="R679" s="3">
        <v>3944500000</v>
      </c>
      <c r="S679" s="11">
        <v>14900000</v>
      </c>
    </row>
    <row r="680" spans="1:19" x14ac:dyDescent="0.35">
      <c r="A680" s="1" t="s">
        <v>51</v>
      </c>
      <c r="B680" s="1" t="str">
        <f t="shared" si="28"/>
        <v>Kotak Mahindra Bank</v>
      </c>
      <c r="C680">
        <v>73</v>
      </c>
      <c r="D680">
        <v>0</v>
      </c>
      <c r="E680">
        <v>174</v>
      </c>
      <c r="F680" s="2">
        <v>146937.98000000001</v>
      </c>
      <c r="G680" s="2">
        <v>135121</v>
      </c>
      <c r="H680" s="2">
        <v>0</v>
      </c>
      <c r="I680" s="2">
        <v>120546.98</v>
      </c>
      <c r="J680" s="2">
        <v>26391</v>
      </c>
      <c r="K680" s="3">
        <v>21112.799999999999</v>
      </c>
      <c r="L680" s="3">
        <v>5278.2</v>
      </c>
      <c r="M680" s="3">
        <v>11658.98</v>
      </c>
      <c r="N680" s="4" t="s">
        <v>126</v>
      </c>
      <c r="O680" s="3" t="str">
        <f t="shared" si="27"/>
        <v>Online</v>
      </c>
      <c r="P680" s="11">
        <v>9623000</v>
      </c>
      <c r="Q680" s="3">
        <v>5914500000</v>
      </c>
      <c r="R680" s="3">
        <v>3944500000</v>
      </c>
      <c r="S680" s="11">
        <v>14900000</v>
      </c>
    </row>
    <row r="681" spans="1:19" x14ac:dyDescent="0.35">
      <c r="A681" s="1" t="s">
        <v>52</v>
      </c>
      <c r="B681" s="1" t="str">
        <f t="shared" si="28"/>
        <v>Kotak Mahindra Bank</v>
      </c>
      <c r="C681">
        <v>18</v>
      </c>
      <c r="D681">
        <v>18</v>
      </c>
      <c r="E681">
        <v>39</v>
      </c>
      <c r="F681" s="2">
        <v>36661.06</v>
      </c>
      <c r="G681" s="2">
        <v>33948</v>
      </c>
      <c r="H681" s="2">
        <v>0</v>
      </c>
      <c r="I681" s="2">
        <v>23722.06</v>
      </c>
      <c r="J681" s="2">
        <v>12939</v>
      </c>
      <c r="K681" s="3">
        <v>12939</v>
      </c>
      <c r="L681" s="3">
        <v>0</v>
      </c>
      <c r="M681" s="3">
        <v>2675.06</v>
      </c>
      <c r="N681" s="4" t="s">
        <v>126</v>
      </c>
      <c r="O681" s="3" t="str">
        <f t="shared" si="27"/>
        <v>Online</v>
      </c>
      <c r="P681" s="11">
        <v>9623000</v>
      </c>
      <c r="Q681" s="3">
        <v>5914500000</v>
      </c>
      <c r="R681" s="3">
        <v>3944500000</v>
      </c>
      <c r="S681" s="11">
        <v>14900000</v>
      </c>
    </row>
    <row r="682" spans="1:19" x14ac:dyDescent="0.35">
      <c r="A682" s="1" t="s">
        <v>38</v>
      </c>
      <c r="B682" s="1" t="str">
        <f t="shared" si="28"/>
        <v>Kotak Mahindra Bank</v>
      </c>
      <c r="C682">
        <v>18322</v>
      </c>
      <c r="D682">
        <v>0</v>
      </c>
      <c r="E682">
        <v>42671</v>
      </c>
      <c r="F682" s="2">
        <v>11547308.01</v>
      </c>
      <c r="G682" s="2">
        <v>503665.2</v>
      </c>
      <c r="H682" s="2">
        <v>11038207.789999999</v>
      </c>
      <c r="I682" s="2">
        <v>9246371.0099999998</v>
      </c>
      <c r="J682" s="2">
        <v>2300937</v>
      </c>
      <c r="K682" s="3">
        <v>0</v>
      </c>
      <c r="L682" s="3">
        <v>2300937</v>
      </c>
      <c r="M682" s="3">
        <v>5297.02</v>
      </c>
      <c r="N682" s="4" t="s">
        <v>126</v>
      </c>
      <c r="O682" s="3" t="str">
        <f t="shared" si="27"/>
        <v>Other</v>
      </c>
      <c r="P682" s="11">
        <v>9623000</v>
      </c>
      <c r="Q682" s="3">
        <v>5914500000</v>
      </c>
      <c r="R682" s="3">
        <v>3944500000</v>
      </c>
      <c r="S682" s="11">
        <v>14900000</v>
      </c>
    </row>
    <row r="683" spans="1:19" x14ac:dyDescent="0.35">
      <c r="A683" s="1" t="s">
        <v>58</v>
      </c>
      <c r="B683" s="1" t="str">
        <f t="shared" si="28"/>
        <v>Kotak Mahindra Bank</v>
      </c>
      <c r="C683">
        <v>4321</v>
      </c>
      <c r="D683">
        <v>0</v>
      </c>
      <c r="E683">
        <v>10413</v>
      </c>
      <c r="F683" s="2">
        <v>3048966.22</v>
      </c>
      <c r="G683" s="2">
        <v>2911811.04</v>
      </c>
      <c r="H683" s="2">
        <v>690</v>
      </c>
      <c r="I683" s="2">
        <v>2940249.13</v>
      </c>
      <c r="J683" s="2">
        <v>108717</v>
      </c>
      <c r="K683" s="3">
        <v>0</v>
      </c>
      <c r="L683" s="3">
        <v>108717</v>
      </c>
      <c r="M683" s="3">
        <v>134287.18</v>
      </c>
      <c r="N683" s="4" t="s">
        <v>126</v>
      </c>
      <c r="O683" s="3" t="str">
        <f t="shared" si="27"/>
        <v>Other</v>
      </c>
      <c r="P683" s="11">
        <v>9623000</v>
      </c>
      <c r="Q683" s="3">
        <v>5914500000</v>
      </c>
      <c r="R683" s="3">
        <v>3944500000</v>
      </c>
      <c r="S683" s="11">
        <v>14900000</v>
      </c>
    </row>
    <row r="684" spans="1:19" x14ac:dyDescent="0.35">
      <c r="A684" s="1" t="s">
        <v>40</v>
      </c>
      <c r="B684" s="1" t="str">
        <f t="shared" si="28"/>
        <v>Standard Chartered Bank</v>
      </c>
      <c r="C684">
        <v>18</v>
      </c>
      <c r="D684">
        <v>18</v>
      </c>
      <c r="E684">
        <v>45</v>
      </c>
      <c r="F684" s="2">
        <v>11780</v>
      </c>
      <c r="G684" s="2">
        <v>11780</v>
      </c>
      <c r="H684" s="2">
        <v>0</v>
      </c>
      <c r="I684" s="2">
        <v>8330</v>
      </c>
      <c r="J684" s="2">
        <v>3450</v>
      </c>
      <c r="K684" s="3">
        <v>3450</v>
      </c>
      <c r="L684" s="3">
        <v>0</v>
      </c>
      <c r="M684" s="3">
        <v>0</v>
      </c>
      <c r="N684" s="4" t="s">
        <v>126</v>
      </c>
      <c r="O684" s="3" t="str">
        <f t="shared" si="27"/>
        <v>Offline - Box Office</v>
      </c>
      <c r="P684" s="11">
        <v>9623000</v>
      </c>
      <c r="Q684" s="3">
        <v>5914500000</v>
      </c>
      <c r="R684" s="3">
        <v>3944500000</v>
      </c>
      <c r="S684" s="11">
        <v>14900000</v>
      </c>
    </row>
    <row r="685" spans="1:19" x14ac:dyDescent="0.35">
      <c r="A685" s="1" t="s">
        <v>41</v>
      </c>
      <c r="B685" s="1" t="str">
        <f t="shared" si="28"/>
        <v>Standard Chartered Bank</v>
      </c>
      <c r="C685">
        <v>100</v>
      </c>
      <c r="D685">
        <v>100</v>
      </c>
      <c r="E685">
        <v>218</v>
      </c>
      <c r="F685" s="2">
        <v>64022.080000000002</v>
      </c>
      <c r="G685" s="2">
        <v>55786.06</v>
      </c>
      <c r="H685" s="2">
        <v>360</v>
      </c>
      <c r="I685" s="2">
        <v>44614.12</v>
      </c>
      <c r="J685" s="2">
        <v>19407.96</v>
      </c>
      <c r="K685" s="3">
        <v>19407.96</v>
      </c>
      <c r="L685" s="3">
        <v>0</v>
      </c>
      <c r="M685" s="3">
        <v>7716.02</v>
      </c>
      <c r="N685" s="4" t="s">
        <v>126</v>
      </c>
      <c r="O685" s="3" t="str">
        <f t="shared" si="27"/>
        <v>Online</v>
      </c>
      <c r="P685" s="11">
        <v>9623000</v>
      </c>
      <c r="Q685" s="3">
        <v>5914500000</v>
      </c>
      <c r="R685" s="3">
        <v>3944500000</v>
      </c>
      <c r="S685" s="11">
        <v>14900000</v>
      </c>
    </row>
    <row r="686" spans="1:19" x14ac:dyDescent="0.35">
      <c r="A686" s="1" t="s">
        <v>125</v>
      </c>
      <c r="B686" s="1" t="str">
        <f t="shared" si="28"/>
        <v>HDFC Bank</v>
      </c>
      <c r="C686">
        <v>8044</v>
      </c>
      <c r="D686">
        <v>0</v>
      </c>
      <c r="E686">
        <v>48356</v>
      </c>
      <c r="F686" s="2">
        <v>17433249.469999999</v>
      </c>
      <c r="G686" s="2">
        <v>7109685.3600000003</v>
      </c>
      <c r="H686" s="2">
        <v>10160497.970000001</v>
      </c>
      <c r="I686" s="2">
        <v>16701707.470000001</v>
      </c>
      <c r="J686" s="2">
        <v>731542</v>
      </c>
      <c r="K686" s="3">
        <v>0</v>
      </c>
      <c r="L686" s="3">
        <v>731542</v>
      </c>
      <c r="M686" s="3">
        <v>160452.14000000001</v>
      </c>
      <c r="N686" s="4" t="s">
        <v>126</v>
      </c>
      <c r="O686" s="3" t="str">
        <f t="shared" si="27"/>
        <v>Other</v>
      </c>
      <c r="P686" s="11">
        <v>9623000</v>
      </c>
      <c r="Q686" s="3">
        <v>5914500000</v>
      </c>
      <c r="R686" s="3">
        <v>3944500000</v>
      </c>
      <c r="S686" s="11">
        <v>14900000</v>
      </c>
    </row>
    <row r="687" spans="1:19" x14ac:dyDescent="0.35">
      <c r="A687" s="1" t="s">
        <v>106</v>
      </c>
      <c r="B687" s="1" t="str">
        <f t="shared" si="28"/>
        <v>Visa</v>
      </c>
      <c r="C687">
        <v>1448</v>
      </c>
      <c r="D687">
        <v>0</v>
      </c>
      <c r="E687">
        <v>11229</v>
      </c>
      <c r="F687" s="2">
        <v>3696434.6</v>
      </c>
      <c r="G687" s="2">
        <v>0</v>
      </c>
      <c r="H687" s="2">
        <v>3696434.6</v>
      </c>
      <c r="I687" s="2">
        <v>3406834.6</v>
      </c>
      <c r="J687" s="2">
        <v>289600</v>
      </c>
      <c r="K687" s="3">
        <v>289600</v>
      </c>
      <c r="L687" s="3">
        <v>0</v>
      </c>
      <c r="M687" s="3">
        <v>0</v>
      </c>
      <c r="N687" s="4" t="s">
        <v>126</v>
      </c>
      <c r="O687" s="3" t="str">
        <f t="shared" si="27"/>
        <v>Offline - F&amp;B</v>
      </c>
      <c r="P687" s="11">
        <v>9623000</v>
      </c>
      <c r="Q687" s="3">
        <v>5914500000</v>
      </c>
      <c r="R687" s="3">
        <v>3944500000</v>
      </c>
      <c r="S687" s="11">
        <v>14900000</v>
      </c>
    </row>
    <row r="688" spans="1:19" x14ac:dyDescent="0.35">
      <c r="A688" s="1" t="s">
        <v>107</v>
      </c>
      <c r="B688" s="1" t="str">
        <f t="shared" si="28"/>
        <v>Visa</v>
      </c>
      <c r="C688">
        <v>750</v>
      </c>
      <c r="D688">
        <v>0</v>
      </c>
      <c r="E688">
        <v>3000</v>
      </c>
      <c r="F688" s="2">
        <v>1170296.45</v>
      </c>
      <c r="G688" s="2">
        <v>1170296.45</v>
      </c>
      <c r="H688" s="2">
        <v>0</v>
      </c>
      <c r="I688" s="2">
        <v>1169546.45</v>
      </c>
      <c r="J688" s="2">
        <v>750</v>
      </c>
      <c r="K688" s="3">
        <v>750</v>
      </c>
      <c r="L688" s="3">
        <v>0</v>
      </c>
      <c r="M688" s="3">
        <v>0</v>
      </c>
      <c r="N688" s="4" t="s">
        <v>126</v>
      </c>
      <c r="O688" s="3" t="str">
        <f t="shared" si="27"/>
        <v>Other</v>
      </c>
      <c r="P688" s="11">
        <v>9623000</v>
      </c>
      <c r="Q688" s="3">
        <v>5914500000</v>
      </c>
      <c r="R688" s="3">
        <v>3944500000</v>
      </c>
      <c r="S688" s="11">
        <v>14900000</v>
      </c>
    </row>
    <row r="689" spans="1:19" x14ac:dyDescent="0.35">
      <c r="A689" s="1" t="s">
        <v>108</v>
      </c>
      <c r="B689" s="1" t="str">
        <f t="shared" si="28"/>
        <v>Visa</v>
      </c>
      <c r="C689">
        <v>14453</v>
      </c>
      <c r="D689">
        <v>0</v>
      </c>
      <c r="E689">
        <v>33760</v>
      </c>
      <c r="F689" s="2">
        <v>9633678.0700000003</v>
      </c>
      <c r="G689" s="2">
        <v>0</v>
      </c>
      <c r="H689" s="2">
        <v>9633678.0700000003</v>
      </c>
      <c r="I689" s="2">
        <v>7724204.0700000003</v>
      </c>
      <c r="J689" s="2">
        <v>1909474</v>
      </c>
      <c r="K689" s="3">
        <v>1909474</v>
      </c>
      <c r="L689" s="3">
        <v>0</v>
      </c>
      <c r="M689" s="3">
        <v>0</v>
      </c>
      <c r="N689" s="4" t="s">
        <v>126</v>
      </c>
      <c r="O689" s="3" t="str">
        <f t="shared" si="27"/>
        <v>Offline - F&amp;B</v>
      </c>
      <c r="P689" s="11">
        <v>9623000</v>
      </c>
      <c r="Q689" s="3">
        <v>5914500000</v>
      </c>
      <c r="R689" s="3">
        <v>3944500000</v>
      </c>
      <c r="S689" s="11">
        <v>14900000</v>
      </c>
    </row>
    <row r="690" spans="1:19" x14ac:dyDescent="0.35">
      <c r="A690" s="1" t="s">
        <v>91</v>
      </c>
      <c r="B690" s="1" t="str">
        <f t="shared" si="28"/>
        <v>American Express</v>
      </c>
      <c r="C690">
        <v>270</v>
      </c>
      <c r="D690">
        <v>270</v>
      </c>
      <c r="E690">
        <v>744</v>
      </c>
      <c r="F690" s="2">
        <v>391808.6</v>
      </c>
      <c r="G690" s="2">
        <v>391808.6</v>
      </c>
      <c r="H690" s="2">
        <v>0</v>
      </c>
      <c r="I690" s="2">
        <v>288103</v>
      </c>
      <c r="J690" s="2">
        <v>103705.60000000001</v>
      </c>
      <c r="K690" s="3">
        <v>51852.82</v>
      </c>
      <c r="L690" s="3">
        <v>51852.82</v>
      </c>
      <c r="M690" s="3">
        <v>0</v>
      </c>
      <c r="N690" s="4" t="s">
        <v>127</v>
      </c>
      <c r="O690" s="3" t="str">
        <f t="shared" si="27"/>
        <v>Offline - Box Office</v>
      </c>
      <c r="P690" s="11">
        <v>8730000</v>
      </c>
      <c r="Q690" s="3">
        <v>4934600000</v>
      </c>
      <c r="R690" s="3">
        <v>3341900000</v>
      </c>
      <c r="S690" s="11">
        <v>13300000</v>
      </c>
    </row>
    <row r="691" spans="1:19" x14ac:dyDescent="0.35">
      <c r="A691" s="1" t="s">
        <v>93</v>
      </c>
      <c r="B691" s="1" t="str">
        <f t="shared" si="28"/>
        <v>American Express</v>
      </c>
      <c r="C691">
        <v>1331</v>
      </c>
      <c r="D691">
        <v>1331</v>
      </c>
      <c r="E691">
        <v>3357</v>
      </c>
      <c r="F691" s="2">
        <v>2006612.44</v>
      </c>
      <c r="G691" s="2">
        <v>1800463.46</v>
      </c>
      <c r="H691" s="2">
        <v>19996</v>
      </c>
      <c r="I691" s="2">
        <v>1471388.2</v>
      </c>
      <c r="J691" s="2">
        <v>535224.24</v>
      </c>
      <c r="K691" s="3">
        <v>267612.28000000003</v>
      </c>
      <c r="L691" s="3">
        <v>267612.28000000003</v>
      </c>
      <c r="M691" s="3">
        <v>182192.98</v>
      </c>
      <c r="N691" s="4" t="s">
        <v>127</v>
      </c>
      <c r="O691" s="3" t="str">
        <f t="shared" si="27"/>
        <v>Online</v>
      </c>
      <c r="P691" s="11">
        <v>8730000</v>
      </c>
      <c r="Q691" s="3">
        <v>4934600000</v>
      </c>
      <c r="R691" s="3">
        <v>3341900000</v>
      </c>
      <c r="S691" s="11">
        <v>13300000</v>
      </c>
    </row>
    <row r="692" spans="1:19" x14ac:dyDescent="0.35">
      <c r="A692" s="1" t="s">
        <v>128</v>
      </c>
      <c r="B692" s="1" t="str">
        <f t="shared" si="28"/>
        <v>AU Bank</v>
      </c>
      <c r="C692">
        <v>13</v>
      </c>
      <c r="D692">
        <v>0</v>
      </c>
      <c r="E692">
        <v>31</v>
      </c>
      <c r="F692" s="2">
        <v>8654</v>
      </c>
      <c r="G692" s="2">
        <v>8654</v>
      </c>
      <c r="H692" s="2">
        <v>0</v>
      </c>
      <c r="I692" s="2">
        <v>4507</v>
      </c>
      <c r="J692" s="2">
        <v>4147</v>
      </c>
      <c r="K692" s="3">
        <v>3732.3</v>
      </c>
      <c r="L692" s="3">
        <v>414.7</v>
      </c>
      <c r="M692" s="3">
        <v>0</v>
      </c>
      <c r="N692" s="4" t="s">
        <v>127</v>
      </c>
      <c r="O692" s="3" t="str">
        <f t="shared" si="27"/>
        <v>Offline - Box Office</v>
      </c>
      <c r="P692" s="11">
        <v>8730000</v>
      </c>
      <c r="Q692" s="3">
        <v>4934600000</v>
      </c>
      <c r="R692" s="3">
        <v>3341900000</v>
      </c>
      <c r="S692" s="11">
        <v>13300000</v>
      </c>
    </row>
    <row r="693" spans="1:19" x14ac:dyDescent="0.35">
      <c r="A693" s="1" t="s">
        <v>129</v>
      </c>
      <c r="B693" s="1" t="str">
        <f t="shared" si="28"/>
        <v>AU Bank</v>
      </c>
      <c r="C693">
        <v>39</v>
      </c>
      <c r="D693">
        <v>0</v>
      </c>
      <c r="E693">
        <v>72</v>
      </c>
      <c r="F693" s="2">
        <v>22163</v>
      </c>
      <c r="G693" s="2">
        <v>0</v>
      </c>
      <c r="H693" s="2">
        <v>22163</v>
      </c>
      <c r="I693" s="2">
        <v>11355</v>
      </c>
      <c r="J693" s="2">
        <v>10808</v>
      </c>
      <c r="K693" s="3">
        <v>9727.2000000000007</v>
      </c>
      <c r="L693" s="3">
        <v>1080.8</v>
      </c>
      <c r="M693" s="3">
        <v>0</v>
      </c>
      <c r="N693" s="4" t="s">
        <v>127</v>
      </c>
      <c r="O693" s="3" t="str">
        <f t="shared" si="27"/>
        <v>Offline - F&amp;B</v>
      </c>
      <c r="P693" s="11">
        <v>8730000</v>
      </c>
      <c r="Q693" s="3">
        <v>4934600000</v>
      </c>
      <c r="R693" s="3">
        <v>3341900000</v>
      </c>
      <c r="S693" s="11">
        <v>13300000</v>
      </c>
    </row>
    <row r="694" spans="1:19" x14ac:dyDescent="0.35">
      <c r="A694" s="1" t="s">
        <v>43</v>
      </c>
      <c r="B694" s="1" t="str">
        <f t="shared" si="28"/>
        <v>Axis Bank</v>
      </c>
      <c r="C694">
        <v>9</v>
      </c>
      <c r="D694">
        <v>9</v>
      </c>
      <c r="E694">
        <v>27</v>
      </c>
      <c r="F694" s="2">
        <v>8294</v>
      </c>
      <c r="G694" s="2">
        <v>8294</v>
      </c>
      <c r="H694" s="2">
        <v>0</v>
      </c>
      <c r="I694" s="2">
        <v>6517</v>
      </c>
      <c r="J694" s="2">
        <v>1777</v>
      </c>
      <c r="K694" s="3">
        <v>1563.76</v>
      </c>
      <c r="L694" s="3">
        <v>213.24</v>
      </c>
      <c r="M694" s="3">
        <v>0</v>
      </c>
      <c r="N694" s="4" t="s">
        <v>127</v>
      </c>
      <c r="O694" s="3" t="str">
        <f t="shared" si="27"/>
        <v>Offline - Box Office</v>
      </c>
      <c r="P694" s="11">
        <v>8730000</v>
      </c>
      <c r="Q694" s="3">
        <v>4934600000</v>
      </c>
      <c r="R694" s="3">
        <v>3341900000</v>
      </c>
      <c r="S694" s="11">
        <v>13300000</v>
      </c>
    </row>
    <row r="695" spans="1:19" x14ac:dyDescent="0.35">
      <c r="A695" s="1" t="s">
        <v>23</v>
      </c>
      <c r="B695" s="1" t="str">
        <f t="shared" si="28"/>
        <v>Axis Bank</v>
      </c>
      <c r="C695">
        <v>20</v>
      </c>
      <c r="D695">
        <v>20</v>
      </c>
      <c r="E695">
        <v>49</v>
      </c>
      <c r="F695" s="2">
        <v>14375.26</v>
      </c>
      <c r="G695" s="2">
        <v>12607.16</v>
      </c>
      <c r="H695" s="2">
        <v>0</v>
      </c>
      <c r="I695" s="2">
        <v>10547.66</v>
      </c>
      <c r="J695" s="2">
        <v>3827.6</v>
      </c>
      <c r="K695" s="3">
        <v>3253.46</v>
      </c>
      <c r="L695" s="3">
        <v>574.14</v>
      </c>
      <c r="M695" s="3">
        <v>1726.1</v>
      </c>
      <c r="N695" s="4" t="s">
        <v>127</v>
      </c>
      <c r="O695" s="3" t="str">
        <f t="shared" si="27"/>
        <v>Online</v>
      </c>
      <c r="P695" s="11">
        <v>8730000</v>
      </c>
      <c r="Q695" s="3">
        <v>4934600000</v>
      </c>
      <c r="R695" s="3">
        <v>3341900000</v>
      </c>
      <c r="S695" s="11">
        <v>13300000</v>
      </c>
    </row>
    <row r="696" spans="1:19" x14ac:dyDescent="0.35">
      <c r="A696" s="1" t="s">
        <v>44</v>
      </c>
      <c r="B696" s="1" t="str">
        <f t="shared" si="28"/>
        <v>Axis Bank</v>
      </c>
      <c r="C696">
        <v>185</v>
      </c>
      <c r="D696">
        <v>185</v>
      </c>
      <c r="E696">
        <v>446</v>
      </c>
      <c r="F696" s="2">
        <v>113752.01</v>
      </c>
      <c r="G696" s="2">
        <v>113752.01</v>
      </c>
      <c r="H696" s="2">
        <v>0</v>
      </c>
      <c r="I696" s="2">
        <v>79195.62</v>
      </c>
      <c r="J696" s="2">
        <v>34556.39</v>
      </c>
      <c r="K696" s="3">
        <v>30409.54</v>
      </c>
      <c r="L696" s="3">
        <v>4146.8500000000004</v>
      </c>
      <c r="M696" s="3">
        <v>0</v>
      </c>
      <c r="N696" s="4" t="s">
        <v>127</v>
      </c>
      <c r="O696" s="3" t="str">
        <f t="shared" si="27"/>
        <v>Offline - Box Office</v>
      </c>
      <c r="P696" s="11">
        <v>8730000</v>
      </c>
      <c r="Q696" s="3">
        <v>4934600000</v>
      </c>
      <c r="R696" s="3">
        <v>3341900000</v>
      </c>
      <c r="S696" s="11">
        <v>13300000</v>
      </c>
    </row>
    <row r="697" spans="1:19" x14ac:dyDescent="0.35">
      <c r="A697" s="1" t="s">
        <v>24</v>
      </c>
      <c r="B697" s="1" t="str">
        <f t="shared" si="28"/>
        <v>Axis Bank</v>
      </c>
      <c r="C697">
        <v>1009</v>
      </c>
      <c r="D697">
        <v>1009</v>
      </c>
      <c r="E697">
        <v>2318</v>
      </c>
      <c r="F697" s="2">
        <v>640223.41</v>
      </c>
      <c r="G697" s="2">
        <v>558142.01</v>
      </c>
      <c r="H697" s="2">
        <v>3600</v>
      </c>
      <c r="I697" s="2">
        <v>449897.74</v>
      </c>
      <c r="J697" s="2">
        <v>190325.67</v>
      </c>
      <c r="K697" s="3">
        <v>161776.81</v>
      </c>
      <c r="L697" s="3">
        <v>28548.86</v>
      </c>
      <c r="M697" s="3">
        <v>76527.399999999994</v>
      </c>
      <c r="N697" s="4" t="s">
        <v>127</v>
      </c>
      <c r="O697" s="3" t="str">
        <f t="shared" si="27"/>
        <v>Online</v>
      </c>
      <c r="P697" s="11">
        <v>8730000</v>
      </c>
      <c r="Q697" s="3">
        <v>4934600000</v>
      </c>
      <c r="R697" s="3">
        <v>3341900000</v>
      </c>
      <c r="S697" s="11">
        <v>13300000</v>
      </c>
    </row>
    <row r="698" spans="1:19" x14ac:dyDescent="0.35">
      <c r="A698" s="1" t="s">
        <v>54</v>
      </c>
      <c r="B698" s="1" t="str">
        <f t="shared" si="28"/>
        <v>BOB Card</v>
      </c>
      <c r="C698">
        <v>32</v>
      </c>
      <c r="D698">
        <v>0</v>
      </c>
      <c r="E698">
        <v>52</v>
      </c>
      <c r="F698" s="2">
        <v>28700.82</v>
      </c>
      <c r="G698" s="2">
        <v>24698</v>
      </c>
      <c r="H698" s="2">
        <v>3510</v>
      </c>
      <c r="I698" s="2">
        <v>26190.82</v>
      </c>
      <c r="J698" s="2">
        <v>2510</v>
      </c>
      <c r="K698" s="3">
        <v>1757</v>
      </c>
      <c r="L698" s="3">
        <v>753</v>
      </c>
      <c r="M698" s="3">
        <v>470.82</v>
      </c>
      <c r="N698" s="4" t="s">
        <v>127</v>
      </c>
      <c r="O698" s="3" t="str">
        <f t="shared" si="27"/>
        <v>Online</v>
      </c>
      <c r="P698" s="11">
        <v>8730000</v>
      </c>
      <c r="Q698" s="3">
        <v>4934600000</v>
      </c>
      <c r="R698" s="3">
        <v>3341900000</v>
      </c>
      <c r="S698" s="11">
        <v>13300000</v>
      </c>
    </row>
    <row r="699" spans="1:19" x14ac:dyDescent="0.35">
      <c r="A699" s="1" t="s">
        <v>55</v>
      </c>
      <c r="B699" s="1" t="str">
        <f t="shared" si="28"/>
        <v>BOB Card</v>
      </c>
      <c r="C699">
        <v>591</v>
      </c>
      <c r="D699">
        <v>0</v>
      </c>
      <c r="E699">
        <v>1843</v>
      </c>
      <c r="F699" s="2">
        <v>541107.91</v>
      </c>
      <c r="G699" s="2">
        <v>0</v>
      </c>
      <c r="H699" s="2">
        <v>541107.91</v>
      </c>
      <c r="I699" s="2">
        <v>488202.91</v>
      </c>
      <c r="J699" s="2">
        <v>52905</v>
      </c>
      <c r="K699" s="3">
        <v>37033.5</v>
      </c>
      <c r="L699" s="3">
        <v>15871.5</v>
      </c>
      <c r="M699" s="3">
        <v>0</v>
      </c>
      <c r="N699" s="4" t="s">
        <v>127</v>
      </c>
      <c r="O699" s="3" t="str">
        <f t="shared" si="27"/>
        <v>Offline - F&amp;B</v>
      </c>
      <c r="P699" s="11">
        <v>8730000</v>
      </c>
      <c r="Q699" s="3">
        <v>4934600000</v>
      </c>
      <c r="R699" s="3">
        <v>3341900000</v>
      </c>
      <c r="S699" s="11">
        <v>13300000</v>
      </c>
    </row>
    <row r="700" spans="1:19" x14ac:dyDescent="0.35">
      <c r="A700" s="1" t="s">
        <v>119</v>
      </c>
      <c r="B700" s="1" t="str">
        <f t="shared" si="28"/>
        <v>AU Bank</v>
      </c>
      <c r="C700">
        <v>26</v>
      </c>
      <c r="D700">
        <v>26</v>
      </c>
      <c r="E700">
        <v>71</v>
      </c>
      <c r="F700" s="2">
        <v>23010</v>
      </c>
      <c r="G700" s="2">
        <v>23010</v>
      </c>
      <c r="H700" s="2">
        <v>0</v>
      </c>
      <c r="I700" s="2">
        <v>17411</v>
      </c>
      <c r="J700" s="2">
        <v>5599</v>
      </c>
      <c r="K700" s="3">
        <v>3919.3</v>
      </c>
      <c r="L700" s="3">
        <v>1679.7</v>
      </c>
      <c r="M700" s="3">
        <v>0</v>
      </c>
      <c r="N700" s="4" t="s">
        <v>127</v>
      </c>
      <c r="O700" s="3" t="str">
        <f t="shared" si="27"/>
        <v>Offline - Box Office</v>
      </c>
      <c r="P700" s="11">
        <v>8730000</v>
      </c>
      <c r="Q700" s="3">
        <v>4934600000</v>
      </c>
      <c r="R700" s="3">
        <v>3341900000</v>
      </c>
      <c r="S700" s="11">
        <v>13300000</v>
      </c>
    </row>
    <row r="701" spans="1:19" x14ac:dyDescent="0.35">
      <c r="A701" s="1" t="s">
        <v>120</v>
      </c>
      <c r="B701" s="1" t="str">
        <f t="shared" si="28"/>
        <v>AU Bank</v>
      </c>
      <c r="C701">
        <v>61</v>
      </c>
      <c r="D701">
        <v>61</v>
      </c>
      <c r="E701">
        <v>154</v>
      </c>
      <c r="F701" s="2">
        <v>52476.58</v>
      </c>
      <c r="G701" s="2">
        <v>46084.86</v>
      </c>
      <c r="H701" s="2">
        <v>0</v>
      </c>
      <c r="I701" s="2">
        <v>38641.15</v>
      </c>
      <c r="J701" s="2">
        <v>13835.43</v>
      </c>
      <c r="K701" s="3">
        <v>9684.7999999999993</v>
      </c>
      <c r="L701" s="3">
        <v>4150.63</v>
      </c>
      <c r="M701" s="3">
        <v>6239.72</v>
      </c>
      <c r="N701" s="4" t="s">
        <v>127</v>
      </c>
      <c r="O701" s="3" t="str">
        <f t="shared" si="27"/>
        <v>Online</v>
      </c>
      <c r="P701" s="11">
        <v>8730000</v>
      </c>
      <c r="Q701" s="3">
        <v>4934600000</v>
      </c>
      <c r="R701" s="3">
        <v>3341900000</v>
      </c>
      <c r="S701" s="11">
        <v>13300000</v>
      </c>
    </row>
    <row r="702" spans="1:19" x14ac:dyDescent="0.35">
      <c r="A702" s="1" t="s">
        <v>73</v>
      </c>
      <c r="B702" s="1" t="str">
        <f t="shared" si="28"/>
        <v>Federal Bank</v>
      </c>
      <c r="C702">
        <v>853</v>
      </c>
      <c r="D702">
        <v>853</v>
      </c>
      <c r="E702">
        <v>2378</v>
      </c>
      <c r="F702" s="2">
        <v>567278.29</v>
      </c>
      <c r="G702" s="2">
        <v>567278.29</v>
      </c>
      <c r="H702" s="2">
        <v>0</v>
      </c>
      <c r="I702" s="2">
        <v>482205.18</v>
      </c>
      <c r="J702" s="2">
        <v>85073.11</v>
      </c>
      <c r="K702" s="3">
        <v>68058.5</v>
      </c>
      <c r="L702" s="3">
        <v>17014.61</v>
      </c>
      <c r="M702" s="3">
        <v>0</v>
      </c>
      <c r="N702" s="4" t="s">
        <v>127</v>
      </c>
      <c r="O702" s="3" t="str">
        <f t="shared" si="27"/>
        <v>Offline - Box Office</v>
      </c>
      <c r="P702" s="11">
        <v>8730000</v>
      </c>
      <c r="Q702" s="3">
        <v>4934600000</v>
      </c>
      <c r="R702" s="3">
        <v>3341900000</v>
      </c>
      <c r="S702" s="11">
        <v>13300000</v>
      </c>
    </row>
    <row r="703" spans="1:19" x14ac:dyDescent="0.35">
      <c r="A703" s="1" t="s">
        <v>74</v>
      </c>
      <c r="B703" s="1" t="str">
        <f t="shared" si="28"/>
        <v>Federal Bank</v>
      </c>
      <c r="C703">
        <v>1203</v>
      </c>
      <c r="D703">
        <v>1203</v>
      </c>
      <c r="E703">
        <v>2952</v>
      </c>
      <c r="F703" s="2">
        <v>760992.43</v>
      </c>
      <c r="G703" s="2">
        <v>652640.41</v>
      </c>
      <c r="H703" s="2">
        <v>5195</v>
      </c>
      <c r="I703" s="2">
        <v>642440.67000000004</v>
      </c>
      <c r="J703" s="2">
        <v>118551.76</v>
      </c>
      <c r="K703" s="3">
        <v>94841.46</v>
      </c>
      <c r="L703" s="3">
        <v>23710.3</v>
      </c>
      <c r="M703" s="3">
        <v>100769.02</v>
      </c>
      <c r="N703" s="4" t="s">
        <v>127</v>
      </c>
      <c r="O703" s="3" t="str">
        <f t="shared" si="27"/>
        <v>Online</v>
      </c>
      <c r="P703" s="11">
        <v>8730000</v>
      </c>
      <c r="Q703" s="3">
        <v>4934600000</v>
      </c>
      <c r="R703" s="3">
        <v>3341900000</v>
      </c>
      <c r="S703" s="11">
        <v>13300000</v>
      </c>
    </row>
    <row r="704" spans="1:19" x14ac:dyDescent="0.35">
      <c r="A704" s="1" t="s">
        <v>27</v>
      </c>
      <c r="B704" s="1" t="str">
        <f t="shared" si="28"/>
        <v>Federal Bank</v>
      </c>
      <c r="C704">
        <v>67</v>
      </c>
      <c r="D704">
        <v>67</v>
      </c>
      <c r="E704">
        <v>188</v>
      </c>
      <c r="F704" s="2">
        <v>50984.41</v>
      </c>
      <c r="G704" s="2">
        <v>50984.41</v>
      </c>
      <c r="H704" s="2">
        <v>0</v>
      </c>
      <c r="I704" s="2">
        <v>44284.41</v>
      </c>
      <c r="J704" s="2">
        <v>6700</v>
      </c>
      <c r="K704" s="3">
        <v>6700</v>
      </c>
      <c r="L704" s="3">
        <v>0</v>
      </c>
      <c r="M704" s="3">
        <v>0</v>
      </c>
      <c r="N704" s="4" t="s">
        <v>127</v>
      </c>
      <c r="O704" s="3" t="str">
        <f t="shared" si="27"/>
        <v>Offline - Box Office</v>
      </c>
      <c r="P704" s="11">
        <v>8730000</v>
      </c>
      <c r="Q704" s="3">
        <v>4934600000</v>
      </c>
      <c r="R704" s="3">
        <v>3341900000</v>
      </c>
      <c r="S704" s="11">
        <v>13300000</v>
      </c>
    </row>
    <row r="705" spans="1:19" x14ac:dyDescent="0.35">
      <c r="A705" s="1" t="s">
        <v>28</v>
      </c>
      <c r="B705" s="1" t="str">
        <f t="shared" si="28"/>
        <v>Federal Bank</v>
      </c>
      <c r="C705">
        <v>182</v>
      </c>
      <c r="D705">
        <v>182</v>
      </c>
      <c r="E705">
        <v>450</v>
      </c>
      <c r="F705" s="2">
        <v>132112.51999999999</v>
      </c>
      <c r="G705" s="2">
        <v>113439.54</v>
      </c>
      <c r="H705" s="2">
        <v>1310</v>
      </c>
      <c r="I705" s="2">
        <v>114055.45</v>
      </c>
      <c r="J705" s="2">
        <v>18057.07</v>
      </c>
      <c r="K705" s="3">
        <v>18057.07</v>
      </c>
      <c r="L705" s="3">
        <v>0</v>
      </c>
      <c r="M705" s="3">
        <v>16894.98</v>
      </c>
      <c r="N705" s="4" t="s">
        <v>127</v>
      </c>
      <c r="O705" s="3" t="str">
        <f t="shared" si="27"/>
        <v>Online</v>
      </c>
      <c r="P705" s="11">
        <v>8730000</v>
      </c>
      <c r="Q705" s="3">
        <v>4934600000</v>
      </c>
      <c r="R705" s="3">
        <v>3341900000</v>
      </c>
      <c r="S705" s="11">
        <v>13300000</v>
      </c>
    </row>
    <row r="706" spans="1:19" x14ac:dyDescent="0.35">
      <c r="A706" s="1" t="s">
        <v>29</v>
      </c>
      <c r="B706" s="1" t="str">
        <f t="shared" si="28"/>
        <v>Federal Bank</v>
      </c>
      <c r="C706">
        <v>226</v>
      </c>
      <c r="D706">
        <v>226</v>
      </c>
      <c r="E706">
        <v>605</v>
      </c>
      <c r="F706" s="2">
        <v>142133.74</v>
      </c>
      <c r="G706" s="2">
        <v>142133.74</v>
      </c>
      <c r="H706" s="2">
        <v>0</v>
      </c>
      <c r="I706" s="2">
        <v>119542.93</v>
      </c>
      <c r="J706" s="2">
        <v>22590.81</v>
      </c>
      <c r="K706" s="3">
        <v>22590.81</v>
      </c>
      <c r="L706" s="3">
        <v>0</v>
      </c>
      <c r="M706" s="3">
        <v>0</v>
      </c>
      <c r="N706" s="4" t="s">
        <v>127</v>
      </c>
      <c r="O706" s="3" t="str">
        <f t="shared" ref="O706:O769" si="29">IF(ISNUMBER(SEARCH("Box Office",A706)),"Offline - Box Office",
IF(ISNUMBER(SEARCH("Digital Platforms",A706)),"Online",
IF(ISNUMBER(SEARCH("Refuel",A706)),"Offline - F&amp;B",
IF(ISNUMBER(SEARCH("Food &amp; Beverages",A706)),"Offline - F&amp;B",
IF(ISNUMBER(SEARCH("F&amp;B",A706)),"Offline - F&amp;B",
IF(ISNUMBER(SEARCH("Kiosk",A706)),"Offline - Box Office",
IF(ISNUMBER(SEARCH("Cinema",A706)),"Offline - Box Office",
"Other")))))))</f>
        <v>Offline - Box Office</v>
      </c>
      <c r="P706" s="11">
        <v>8730000</v>
      </c>
      <c r="Q706" s="3">
        <v>4934600000</v>
      </c>
      <c r="R706" s="3">
        <v>3341900000</v>
      </c>
      <c r="S706" s="11">
        <v>13300000</v>
      </c>
    </row>
    <row r="707" spans="1:19" x14ac:dyDescent="0.35">
      <c r="A707" s="1" t="s">
        <v>30</v>
      </c>
      <c r="B707" s="1" t="str">
        <f t="shared" si="28"/>
        <v>Federal Bank</v>
      </c>
      <c r="C707">
        <v>363</v>
      </c>
      <c r="D707">
        <v>363</v>
      </c>
      <c r="E707">
        <v>887</v>
      </c>
      <c r="F707" s="2">
        <v>256236.14</v>
      </c>
      <c r="G707" s="2">
        <v>219349.94</v>
      </c>
      <c r="H707" s="2">
        <v>4155</v>
      </c>
      <c r="I707" s="2">
        <v>220119.78</v>
      </c>
      <c r="J707" s="2">
        <v>36116.36</v>
      </c>
      <c r="K707" s="3">
        <v>36116.36</v>
      </c>
      <c r="L707" s="3">
        <v>0</v>
      </c>
      <c r="M707" s="3">
        <v>31965.200000000001</v>
      </c>
      <c r="N707" s="4" t="s">
        <v>127</v>
      </c>
      <c r="O707" s="3" t="str">
        <f t="shared" si="29"/>
        <v>Online</v>
      </c>
      <c r="P707" s="11">
        <v>8730000</v>
      </c>
      <c r="Q707" s="3">
        <v>4934600000</v>
      </c>
      <c r="R707" s="3">
        <v>3341900000</v>
      </c>
      <c r="S707" s="11">
        <v>13300000</v>
      </c>
    </row>
    <row r="708" spans="1:19" x14ac:dyDescent="0.35">
      <c r="A708" s="1" t="s">
        <v>121</v>
      </c>
      <c r="B708" s="1" t="str">
        <f t="shared" si="28"/>
        <v>AU Bank</v>
      </c>
      <c r="C708">
        <v>96</v>
      </c>
      <c r="D708">
        <v>0</v>
      </c>
      <c r="E708">
        <v>307</v>
      </c>
      <c r="F708" s="2">
        <v>88216</v>
      </c>
      <c r="G708" s="2">
        <v>88216</v>
      </c>
      <c r="H708" s="2">
        <v>0</v>
      </c>
      <c r="I708" s="2">
        <v>74973</v>
      </c>
      <c r="J708" s="2">
        <v>13243</v>
      </c>
      <c r="K708" s="3">
        <v>9270.1</v>
      </c>
      <c r="L708" s="3">
        <v>3972.9</v>
      </c>
      <c r="M708" s="3">
        <v>0</v>
      </c>
      <c r="N708" s="4" t="s">
        <v>127</v>
      </c>
      <c r="O708" s="3" t="str">
        <f t="shared" si="29"/>
        <v>Offline - Box Office</v>
      </c>
      <c r="P708" s="11">
        <v>8730000</v>
      </c>
      <c r="Q708" s="3">
        <v>4934600000</v>
      </c>
      <c r="R708" s="3">
        <v>3341900000</v>
      </c>
      <c r="S708" s="11">
        <v>13300000</v>
      </c>
    </row>
    <row r="709" spans="1:19" x14ac:dyDescent="0.35">
      <c r="A709" s="1" t="s">
        <v>122</v>
      </c>
      <c r="B709" s="1" t="str">
        <f t="shared" si="28"/>
        <v>AU Bank</v>
      </c>
      <c r="C709">
        <v>47</v>
      </c>
      <c r="D709">
        <v>0</v>
      </c>
      <c r="E709">
        <v>120</v>
      </c>
      <c r="F709" s="2">
        <v>43797.25</v>
      </c>
      <c r="G709" s="2">
        <v>38373.410000000003</v>
      </c>
      <c r="H709" s="2">
        <v>0</v>
      </c>
      <c r="I709" s="2">
        <v>37465.25</v>
      </c>
      <c r="J709" s="2">
        <v>6332</v>
      </c>
      <c r="K709" s="3">
        <v>4432.3999999999996</v>
      </c>
      <c r="L709" s="3">
        <v>1899.6</v>
      </c>
      <c r="M709" s="3">
        <v>5295.84</v>
      </c>
      <c r="N709" s="4" t="s">
        <v>127</v>
      </c>
      <c r="O709" s="3" t="str">
        <f t="shared" si="29"/>
        <v>Online</v>
      </c>
      <c r="P709" s="11">
        <v>8730000</v>
      </c>
      <c r="Q709" s="3">
        <v>4934600000</v>
      </c>
      <c r="R709" s="3">
        <v>3341900000</v>
      </c>
      <c r="S709" s="11">
        <v>13300000</v>
      </c>
    </row>
    <row r="710" spans="1:19" x14ac:dyDescent="0.35">
      <c r="A710" s="1" t="s">
        <v>123</v>
      </c>
      <c r="B710" s="1" t="str">
        <f t="shared" si="28"/>
        <v>AU Bank</v>
      </c>
      <c r="C710">
        <v>127</v>
      </c>
      <c r="D710">
        <v>0</v>
      </c>
      <c r="E710">
        <v>417</v>
      </c>
      <c r="F710" s="2">
        <v>120760</v>
      </c>
      <c r="G710" s="2">
        <v>120760</v>
      </c>
      <c r="H710" s="2">
        <v>0</v>
      </c>
      <c r="I710" s="2">
        <v>108060</v>
      </c>
      <c r="J710" s="2">
        <v>12700</v>
      </c>
      <c r="K710" s="3">
        <v>8890</v>
      </c>
      <c r="L710" s="3">
        <v>3810</v>
      </c>
      <c r="M710" s="3">
        <v>0</v>
      </c>
      <c r="N710" s="4" t="s">
        <v>127</v>
      </c>
      <c r="O710" s="3" t="str">
        <f t="shared" si="29"/>
        <v>Offline - Box Office</v>
      </c>
      <c r="P710" s="11">
        <v>8730000</v>
      </c>
      <c r="Q710" s="3">
        <v>4934600000</v>
      </c>
      <c r="R710" s="3">
        <v>3341900000</v>
      </c>
      <c r="S710" s="11">
        <v>13300000</v>
      </c>
    </row>
    <row r="711" spans="1:19" x14ac:dyDescent="0.35">
      <c r="A711" s="1" t="s">
        <v>124</v>
      </c>
      <c r="B711" s="1" t="str">
        <f t="shared" si="28"/>
        <v>AU Bank</v>
      </c>
      <c r="C711">
        <v>40</v>
      </c>
      <c r="D711">
        <v>0</v>
      </c>
      <c r="E711">
        <v>93</v>
      </c>
      <c r="F711" s="2">
        <v>33771.769999999997</v>
      </c>
      <c r="G711" s="2">
        <v>29799.47</v>
      </c>
      <c r="H711" s="2">
        <v>0</v>
      </c>
      <c r="I711" s="2">
        <v>29771.77</v>
      </c>
      <c r="J711" s="2">
        <v>4000</v>
      </c>
      <c r="K711" s="3">
        <v>2800</v>
      </c>
      <c r="L711" s="3">
        <v>1200</v>
      </c>
      <c r="M711" s="3">
        <v>3916.3</v>
      </c>
      <c r="N711" s="4" t="s">
        <v>127</v>
      </c>
      <c r="O711" s="3" t="str">
        <f t="shared" si="29"/>
        <v>Online</v>
      </c>
      <c r="P711" s="11">
        <v>8730000</v>
      </c>
      <c r="Q711" s="3">
        <v>4934600000</v>
      </c>
      <c r="R711" s="3">
        <v>3341900000</v>
      </c>
      <c r="S711" s="11">
        <v>13300000</v>
      </c>
    </row>
    <row r="712" spans="1:19" x14ac:dyDescent="0.35">
      <c r="A712" s="1" t="s">
        <v>32</v>
      </c>
      <c r="B712" s="1" t="str">
        <f t="shared" si="28"/>
        <v>ICICI Bank</v>
      </c>
      <c r="C712">
        <v>3158</v>
      </c>
      <c r="D712">
        <v>0</v>
      </c>
      <c r="E712">
        <v>8597</v>
      </c>
      <c r="F712" s="2">
        <v>2109912.27</v>
      </c>
      <c r="G712" s="2">
        <v>2109912.27</v>
      </c>
      <c r="H712" s="2">
        <v>0</v>
      </c>
      <c r="I712" s="2">
        <v>1794665.27</v>
      </c>
      <c r="J712" s="2">
        <v>315247</v>
      </c>
      <c r="K712" s="3">
        <v>277417.36</v>
      </c>
      <c r="L712" s="3">
        <v>37829.64</v>
      </c>
      <c r="M712" s="3">
        <v>0</v>
      </c>
      <c r="N712" s="4" t="s">
        <v>127</v>
      </c>
      <c r="O712" s="3" t="str">
        <f t="shared" si="29"/>
        <v>Offline - Box Office</v>
      </c>
      <c r="P712" s="11">
        <v>8730000</v>
      </c>
      <c r="Q712" s="3">
        <v>4934600000</v>
      </c>
      <c r="R712" s="3">
        <v>3341900000</v>
      </c>
      <c r="S712" s="11">
        <v>13300000</v>
      </c>
    </row>
    <row r="713" spans="1:19" x14ac:dyDescent="0.35">
      <c r="A713" s="1" t="s">
        <v>33</v>
      </c>
      <c r="B713" s="1" t="str">
        <f t="shared" si="28"/>
        <v>ICICI Bank</v>
      </c>
      <c r="C713">
        <v>1638</v>
      </c>
      <c r="D713">
        <v>0</v>
      </c>
      <c r="E713">
        <v>4369</v>
      </c>
      <c r="F713" s="2">
        <v>1263299.23</v>
      </c>
      <c r="G713" s="2">
        <v>1094126.55</v>
      </c>
      <c r="H713" s="2">
        <v>16573</v>
      </c>
      <c r="I713" s="2">
        <v>1093414.23</v>
      </c>
      <c r="J713" s="2">
        <v>169885</v>
      </c>
      <c r="K713" s="3">
        <v>144402.25</v>
      </c>
      <c r="L713" s="3">
        <v>25482.75</v>
      </c>
      <c r="M713" s="3">
        <v>149071.67999999999</v>
      </c>
      <c r="N713" s="4" t="s">
        <v>127</v>
      </c>
      <c r="O713" s="3" t="str">
        <f t="shared" si="29"/>
        <v>Online</v>
      </c>
      <c r="P713" s="11">
        <v>8730000</v>
      </c>
      <c r="Q713" s="3">
        <v>4934600000</v>
      </c>
      <c r="R713" s="3">
        <v>3341900000</v>
      </c>
      <c r="S713" s="11">
        <v>13300000</v>
      </c>
    </row>
    <row r="714" spans="1:19" x14ac:dyDescent="0.35">
      <c r="A714" s="1" t="s">
        <v>34</v>
      </c>
      <c r="B714" s="1" t="str">
        <f t="shared" si="28"/>
        <v>ICICI Bank</v>
      </c>
      <c r="C714">
        <v>364</v>
      </c>
      <c r="D714">
        <v>0</v>
      </c>
      <c r="E714">
        <v>1028</v>
      </c>
      <c r="F714" s="2">
        <v>267792.21999999997</v>
      </c>
      <c r="G714" s="2">
        <v>267792.21999999997</v>
      </c>
      <c r="H714" s="2">
        <v>0</v>
      </c>
      <c r="I714" s="2">
        <v>248414.22</v>
      </c>
      <c r="J714" s="2">
        <v>19378</v>
      </c>
      <c r="K714" s="3">
        <v>17052.64</v>
      </c>
      <c r="L714" s="3">
        <v>2325.36</v>
      </c>
      <c r="M714" s="3">
        <v>0</v>
      </c>
      <c r="N714" s="4" t="s">
        <v>127</v>
      </c>
      <c r="O714" s="3" t="str">
        <f t="shared" si="29"/>
        <v>Offline - Box Office</v>
      </c>
      <c r="P714" s="11">
        <v>8730000</v>
      </c>
      <c r="Q714" s="3">
        <v>4934600000</v>
      </c>
      <c r="R714" s="3">
        <v>3341900000</v>
      </c>
      <c r="S714" s="11">
        <v>13300000</v>
      </c>
    </row>
    <row r="715" spans="1:19" x14ac:dyDescent="0.35">
      <c r="A715" s="1" t="s">
        <v>35</v>
      </c>
      <c r="B715" s="1" t="str">
        <f t="shared" si="28"/>
        <v>ICICI Bank</v>
      </c>
      <c r="C715">
        <v>138</v>
      </c>
      <c r="D715">
        <v>0</v>
      </c>
      <c r="E715">
        <v>382</v>
      </c>
      <c r="F715" s="2">
        <v>112610.75</v>
      </c>
      <c r="G715" s="2">
        <v>97726.55</v>
      </c>
      <c r="H715" s="2">
        <v>1640</v>
      </c>
      <c r="I715" s="2">
        <v>104765.75</v>
      </c>
      <c r="J715" s="2">
        <v>7845</v>
      </c>
      <c r="K715" s="3">
        <v>6668.25</v>
      </c>
      <c r="L715" s="3">
        <v>1176.75</v>
      </c>
      <c r="M715" s="3">
        <v>12892.2</v>
      </c>
      <c r="N715" s="4" t="s">
        <v>127</v>
      </c>
      <c r="O715" s="3" t="str">
        <f t="shared" si="29"/>
        <v>Online</v>
      </c>
      <c r="P715" s="11">
        <v>8730000</v>
      </c>
      <c r="Q715" s="3">
        <v>4934600000</v>
      </c>
      <c r="R715" s="3">
        <v>3341900000</v>
      </c>
      <c r="S715" s="11">
        <v>13300000</v>
      </c>
    </row>
    <row r="716" spans="1:19" x14ac:dyDescent="0.35">
      <c r="A716" s="1" t="s">
        <v>110</v>
      </c>
      <c r="B716" s="1" t="str">
        <f t="shared" si="28"/>
        <v>IDBI Bank</v>
      </c>
      <c r="C716">
        <v>104</v>
      </c>
      <c r="D716">
        <v>0</v>
      </c>
      <c r="E716">
        <v>369</v>
      </c>
      <c r="F716" s="2">
        <v>134597</v>
      </c>
      <c r="G716" s="2">
        <v>134597</v>
      </c>
      <c r="H716" s="2">
        <v>0</v>
      </c>
      <c r="I716" s="2">
        <v>119637</v>
      </c>
      <c r="J716" s="2">
        <v>14960</v>
      </c>
      <c r="K716" s="3">
        <v>14212</v>
      </c>
      <c r="L716" s="3">
        <v>748</v>
      </c>
      <c r="M716" s="3">
        <v>0</v>
      </c>
      <c r="N716" s="4" t="s">
        <v>127</v>
      </c>
      <c r="O716" s="3" t="str">
        <f t="shared" si="29"/>
        <v>Offline - Box Office</v>
      </c>
      <c r="P716" s="11">
        <v>8730000</v>
      </c>
      <c r="Q716" s="3">
        <v>4934600000</v>
      </c>
      <c r="R716" s="3">
        <v>3341900000</v>
      </c>
      <c r="S716" s="11">
        <v>13300000</v>
      </c>
    </row>
    <row r="717" spans="1:19" x14ac:dyDescent="0.35">
      <c r="A717" s="1" t="s">
        <v>111</v>
      </c>
      <c r="B717" s="1" t="str">
        <f t="shared" si="28"/>
        <v>IDBI Bank</v>
      </c>
      <c r="C717">
        <v>85</v>
      </c>
      <c r="D717">
        <v>0</v>
      </c>
      <c r="E717">
        <v>321</v>
      </c>
      <c r="F717" s="2">
        <v>131539.9</v>
      </c>
      <c r="G717" s="2">
        <v>111271.1</v>
      </c>
      <c r="H717" s="2">
        <v>6490</v>
      </c>
      <c r="I717" s="2">
        <v>119189.9</v>
      </c>
      <c r="J717" s="2">
        <v>12350</v>
      </c>
      <c r="K717" s="3">
        <v>12350</v>
      </c>
      <c r="L717" s="3">
        <v>0</v>
      </c>
      <c r="M717" s="3">
        <v>13524.8</v>
      </c>
      <c r="N717" s="4" t="s">
        <v>127</v>
      </c>
      <c r="O717" s="3" t="str">
        <f t="shared" si="29"/>
        <v>Online</v>
      </c>
      <c r="P717" s="11">
        <v>8730000</v>
      </c>
      <c r="Q717" s="3">
        <v>4934600000</v>
      </c>
      <c r="R717" s="3">
        <v>3341900000</v>
      </c>
      <c r="S717" s="11">
        <v>13300000</v>
      </c>
    </row>
    <row r="718" spans="1:19" x14ac:dyDescent="0.35">
      <c r="A718" s="1" t="s">
        <v>112</v>
      </c>
      <c r="B718" s="1" t="str">
        <f t="shared" si="28"/>
        <v>IDBI Bank</v>
      </c>
      <c r="C718">
        <v>192</v>
      </c>
      <c r="D718">
        <v>0</v>
      </c>
      <c r="E718">
        <v>769</v>
      </c>
      <c r="F718" s="2">
        <v>229776.53</v>
      </c>
      <c r="G718" s="2">
        <v>0</v>
      </c>
      <c r="H718" s="2">
        <v>229776.53</v>
      </c>
      <c r="I718" s="2">
        <v>202370.53</v>
      </c>
      <c r="J718" s="2">
        <v>27406</v>
      </c>
      <c r="K718" s="3">
        <v>19184.2</v>
      </c>
      <c r="L718" s="3">
        <v>8221.7999999999993</v>
      </c>
      <c r="M718" s="3">
        <v>0</v>
      </c>
      <c r="N718" s="4" t="s">
        <v>127</v>
      </c>
      <c r="O718" s="3" t="str">
        <f t="shared" si="29"/>
        <v>Offline - F&amp;B</v>
      </c>
      <c r="P718" s="11">
        <v>8730000</v>
      </c>
      <c r="Q718" s="3">
        <v>4934600000</v>
      </c>
      <c r="R718" s="3">
        <v>3341900000</v>
      </c>
      <c r="S718" s="11">
        <v>13300000</v>
      </c>
    </row>
    <row r="719" spans="1:19" x14ac:dyDescent="0.35">
      <c r="A719" s="1" t="s">
        <v>51</v>
      </c>
      <c r="B719" s="1" t="str">
        <f t="shared" si="28"/>
        <v>Kotak Mahindra Bank</v>
      </c>
      <c r="C719">
        <v>32</v>
      </c>
      <c r="D719">
        <v>0</v>
      </c>
      <c r="E719">
        <v>52</v>
      </c>
      <c r="F719" s="2">
        <v>34210.639999999999</v>
      </c>
      <c r="G719" s="2">
        <v>31015</v>
      </c>
      <c r="H719" s="2">
        <v>0</v>
      </c>
      <c r="I719" s="2">
        <v>26580.639999999999</v>
      </c>
      <c r="J719" s="2">
        <v>7630</v>
      </c>
      <c r="K719" s="3">
        <v>6104</v>
      </c>
      <c r="L719" s="3">
        <v>1526</v>
      </c>
      <c r="M719" s="3">
        <v>3151.64</v>
      </c>
      <c r="N719" s="4" t="s">
        <v>127</v>
      </c>
      <c r="O719" s="3" t="str">
        <f t="shared" si="29"/>
        <v>Online</v>
      </c>
      <c r="P719" s="11">
        <v>8730000</v>
      </c>
      <c r="Q719" s="3">
        <v>4934600000</v>
      </c>
      <c r="R719" s="3">
        <v>3341900000</v>
      </c>
      <c r="S719" s="11">
        <v>13300000</v>
      </c>
    </row>
    <row r="720" spans="1:19" x14ac:dyDescent="0.35">
      <c r="A720" s="1" t="s">
        <v>52</v>
      </c>
      <c r="B720" s="1" t="str">
        <f t="shared" si="28"/>
        <v>Kotak Mahindra Bank</v>
      </c>
      <c r="C720">
        <v>19</v>
      </c>
      <c r="D720">
        <v>19</v>
      </c>
      <c r="E720">
        <v>41</v>
      </c>
      <c r="F720" s="2">
        <v>32741.9</v>
      </c>
      <c r="G720" s="2">
        <v>30014</v>
      </c>
      <c r="H720" s="2">
        <v>0</v>
      </c>
      <c r="I720" s="2">
        <v>20454.900000000001</v>
      </c>
      <c r="J720" s="2">
        <v>12287</v>
      </c>
      <c r="K720" s="3">
        <v>12287</v>
      </c>
      <c r="L720" s="3">
        <v>0</v>
      </c>
      <c r="M720" s="3">
        <v>2681.9</v>
      </c>
      <c r="N720" s="4" t="s">
        <v>127</v>
      </c>
      <c r="O720" s="3" t="str">
        <f t="shared" si="29"/>
        <v>Online</v>
      </c>
      <c r="P720" s="11">
        <v>8730000</v>
      </c>
      <c r="Q720" s="3">
        <v>4934600000</v>
      </c>
      <c r="R720" s="3">
        <v>3341900000</v>
      </c>
      <c r="S720" s="11">
        <v>13300000</v>
      </c>
    </row>
    <row r="721" spans="1:19" x14ac:dyDescent="0.35">
      <c r="A721" s="1" t="s">
        <v>130</v>
      </c>
      <c r="B721" s="1" t="str">
        <f t="shared" si="28"/>
        <v>Kotak Mahindra Bank</v>
      </c>
      <c r="C721">
        <v>20</v>
      </c>
      <c r="D721">
        <v>20</v>
      </c>
      <c r="E721">
        <v>44</v>
      </c>
      <c r="F721" s="2">
        <v>30588.74</v>
      </c>
      <c r="G721" s="2">
        <v>27740</v>
      </c>
      <c r="H721" s="2">
        <v>0</v>
      </c>
      <c r="I721" s="2">
        <v>19213.740000000002</v>
      </c>
      <c r="J721" s="2">
        <v>11375</v>
      </c>
      <c r="K721" s="3">
        <v>11375</v>
      </c>
      <c r="L721" s="3">
        <v>0</v>
      </c>
      <c r="M721" s="3">
        <v>2806.74</v>
      </c>
      <c r="N721" s="4" t="s">
        <v>127</v>
      </c>
      <c r="O721" s="3" t="str">
        <f t="shared" si="29"/>
        <v>Online</v>
      </c>
      <c r="P721" s="11">
        <v>8730000</v>
      </c>
      <c r="Q721" s="3">
        <v>4934600000</v>
      </c>
      <c r="R721" s="3">
        <v>3341900000</v>
      </c>
      <c r="S721" s="11">
        <v>13300000</v>
      </c>
    </row>
    <row r="722" spans="1:19" x14ac:dyDescent="0.35">
      <c r="A722" s="1" t="s">
        <v>38</v>
      </c>
      <c r="B722" s="1" t="str">
        <f t="shared" si="28"/>
        <v>Kotak Mahindra Bank</v>
      </c>
      <c r="C722">
        <v>16976</v>
      </c>
      <c r="D722">
        <v>0</v>
      </c>
      <c r="E722">
        <v>40032</v>
      </c>
      <c r="F722" s="2">
        <v>10387529.25</v>
      </c>
      <c r="G722" s="2">
        <v>373532.09</v>
      </c>
      <c r="H722" s="2">
        <v>10011032.439999999</v>
      </c>
      <c r="I722" s="2">
        <v>8314225.25</v>
      </c>
      <c r="J722" s="2">
        <v>2073304</v>
      </c>
      <c r="K722" s="3">
        <v>0</v>
      </c>
      <c r="L722" s="3">
        <v>2073304</v>
      </c>
      <c r="M722" s="3">
        <v>2880.72</v>
      </c>
      <c r="N722" s="4" t="s">
        <v>127</v>
      </c>
      <c r="O722" s="3" t="str">
        <f t="shared" si="29"/>
        <v>Other</v>
      </c>
      <c r="P722" s="11">
        <v>8730000</v>
      </c>
      <c r="Q722" s="3">
        <v>4934600000</v>
      </c>
      <c r="R722" s="3">
        <v>3341900000</v>
      </c>
      <c r="S722" s="11">
        <v>13300000</v>
      </c>
    </row>
    <row r="723" spans="1:19" x14ac:dyDescent="0.35">
      <c r="A723" s="1" t="s">
        <v>58</v>
      </c>
      <c r="B723" s="1" t="str">
        <f t="shared" si="28"/>
        <v>Kotak Mahindra Bank</v>
      </c>
      <c r="C723">
        <v>2897</v>
      </c>
      <c r="D723">
        <v>0</v>
      </c>
      <c r="E723">
        <v>6596</v>
      </c>
      <c r="F723" s="2">
        <v>1880759.55</v>
      </c>
      <c r="G723" s="2">
        <v>1751960.01</v>
      </c>
      <c r="H723" s="2">
        <v>310</v>
      </c>
      <c r="I723" s="2">
        <v>1824694.46</v>
      </c>
      <c r="J723" s="2">
        <v>56065</v>
      </c>
      <c r="K723" s="3">
        <v>0</v>
      </c>
      <c r="L723" s="3">
        <v>56065</v>
      </c>
      <c r="M723" s="3">
        <v>126321.54</v>
      </c>
      <c r="N723" s="4" t="s">
        <v>127</v>
      </c>
      <c r="O723" s="3" t="str">
        <f t="shared" si="29"/>
        <v>Other</v>
      </c>
      <c r="P723" s="11">
        <v>8730000</v>
      </c>
      <c r="Q723" s="3">
        <v>4934600000</v>
      </c>
      <c r="R723" s="3">
        <v>3341900000</v>
      </c>
      <c r="S723" s="11">
        <v>13300000</v>
      </c>
    </row>
    <row r="724" spans="1:19" x14ac:dyDescent="0.35">
      <c r="A724" s="1" t="s">
        <v>131</v>
      </c>
      <c r="B724" s="1" t="str">
        <f t="shared" si="28"/>
        <v>Kotak Mahindra Bank</v>
      </c>
      <c r="C724">
        <v>67</v>
      </c>
      <c r="D724">
        <v>67</v>
      </c>
      <c r="E724">
        <v>168</v>
      </c>
      <c r="F724" s="2">
        <v>35173.919999999998</v>
      </c>
      <c r="G724" s="2">
        <v>30617.02</v>
      </c>
      <c r="H724" s="2">
        <v>0</v>
      </c>
      <c r="I724" s="2">
        <v>22739.31</v>
      </c>
      <c r="J724" s="2">
        <v>12434.61</v>
      </c>
      <c r="K724" s="3">
        <v>12434.61</v>
      </c>
      <c r="L724" s="3">
        <v>0</v>
      </c>
      <c r="M724" s="3">
        <v>4442.8999999999996</v>
      </c>
      <c r="N724" s="4" t="s">
        <v>127</v>
      </c>
      <c r="O724" s="3" t="str">
        <f t="shared" si="29"/>
        <v>Online</v>
      </c>
      <c r="P724" s="11">
        <v>8730000</v>
      </c>
      <c r="Q724" s="3">
        <v>4934600000</v>
      </c>
      <c r="R724" s="3">
        <v>3341900000</v>
      </c>
      <c r="S724" s="11">
        <v>13300000</v>
      </c>
    </row>
    <row r="725" spans="1:19" x14ac:dyDescent="0.35">
      <c r="A725" s="1" t="s">
        <v>40</v>
      </c>
      <c r="B725" s="1" t="str">
        <f t="shared" si="28"/>
        <v>Standard Chartered Bank</v>
      </c>
      <c r="C725">
        <v>12</v>
      </c>
      <c r="D725">
        <v>12</v>
      </c>
      <c r="E725">
        <v>25</v>
      </c>
      <c r="F725" s="2">
        <v>6790</v>
      </c>
      <c r="G725" s="2">
        <v>6790</v>
      </c>
      <c r="H725" s="2">
        <v>0</v>
      </c>
      <c r="I725" s="2">
        <v>4470</v>
      </c>
      <c r="J725" s="2">
        <v>2320</v>
      </c>
      <c r="K725" s="3">
        <v>2320</v>
      </c>
      <c r="L725" s="3">
        <v>0</v>
      </c>
      <c r="M725" s="3">
        <v>0</v>
      </c>
      <c r="N725" s="4" t="s">
        <v>127</v>
      </c>
      <c r="O725" s="3" t="str">
        <f t="shared" si="29"/>
        <v>Offline - Box Office</v>
      </c>
      <c r="P725" s="11">
        <v>8730000</v>
      </c>
      <c r="Q725" s="3">
        <v>4934600000</v>
      </c>
      <c r="R725" s="3">
        <v>3341900000</v>
      </c>
      <c r="S725" s="11">
        <v>13300000</v>
      </c>
    </row>
    <row r="726" spans="1:19" x14ac:dyDescent="0.35">
      <c r="A726" s="1" t="s">
        <v>41</v>
      </c>
      <c r="B726" s="1" t="str">
        <f t="shared" si="28"/>
        <v>Standard Chartered Bank</v>
      </c>
      <c r="C726">
        <v>54</v>
      </c>
      <c r="D726">
        <v>54</v>
      </c>
      <c r="E726">
        <v>121</v>
      </c>
      <c r="F726" s="2">
        <v>36959.93</v>
      </c>
      <c r="G726" s="2">
        <v>31810.65</v>
      </c>
      <c r="H726" s="2">
        <v>660</v>
      </c>
      <c r="I726" s="2">
        <v>26623.73</v>
      </c>
      <c r="J726" s="2">
        <v>10336.200000000001</v>
      </c>
      <c r="K726" s="3">
        <v>10336.200000000001</v>
      </c>
      <c r="L726" s="3">
        <v>0</v>
      </c>
      <c r="M726" s="3">
        <v>4397.28</v>
      </c>
      <c r="N726" s="4" t="s">
        <v>127</v>
      </c>
      <c r="O726" s="3" t="str">
        <f t="shared" si="29"/>
        <v>Online</v>
      </c>
      <c r="P726" s="11">
        <v>8730000</v>
      </c>
      <c r="Q726" s="3">
        <v>4934600000</v>
      </c>
      <c r="R726" s="3">
        <v>3341900000</v>
      </c>
      <c r="S726" s="11">
        <v>13300000</v>
      </c>
    </row>
    <row r="727" spans="1:19" x14ac:dyDescent="0.35">
      <c r="A727" s="1" t="s">
        <v>125</v>
      </c>
      <c r="B727" s="1" t="str">
        <f t="shared" ref="B727:B790" si="30">IF(ISNUMBER(SEARCH("AXIS",A727)),"Axis Bank",
IF(ISNUMBER(SEARCH("HDFC",A727)),"HDFC Bank",
IF(ISNUMBER(SEARCH("ICICI",A727)),"ICICI Bank",
IF(ISNUMBER(SEARCH("AU",A727)),"AU Bank",
IF(ISNUMBER(SEARCH("KOTAK",A727)),"Kotak Mahindra Bank",
IF(ISNUMBER(SEARCH("SBI",A727)),"State Bank of India",
IF(ISNUMBER(SEARCH("HSBC",A727)),"HSBC",
IF(ISNUMBER(SEARCH("DBS",A727)),"DBS Bank",
IF(ISNUMBER(SEARCH("SCAPIA",A727)),"Scapia",
IF(ISNUMBER(SEARCH("STANDARD CHARTERED",A727)),"Standard Chartered Bank",
IF(ISNUMBER(SEARCH("IDBI",A727)),"IDBI Bank",
IF(ISNUMBER(SEARCH("J&amp;K",A727)),"J&amp;K Bank",
IF(ISNUMBER(SEARCH("JAMMU",A727)),"J&amp;K Bank",
IF(ISNUMBER(SEARCH("FEDERAL",A727)),"Federal Bank",
IF(ISNUMBER(SEARCH("BOBCARD",A727)),"BOB Card",
IF(ISNUMBER(SEARCH("BANK OF BARODA",A727)),"BOB Card",
IF(ISNUMBER(SEARCH("AMEX",A727)),"American Express",
IF(ISNUMBER(SEARCH("PLATINUM",A727)),"American Express",
IF(ISNUMBER(SEARCH("CENTURION",A727)),"American Express",
IF(ISNUMBER(SEARCH("VISA",A727)),"Visa",
IF(ISNUMBER(SEARCH("MASTERCARD",A727)),"Mastercard",
"")))))))))))))))))))))</f>
        <v>HDFC Bank</v>
      </c>
      <c r="C727">
        <v>5160</v>
      </c>
      <c r="D727">
        <v>0</v>
      </c>
      <c r="E727">
        <v>30053</v>
      </c>
      <c r="F727" s="2">
        <v>10929112.07</v>
      </c>
      <c r="G727" s="2">
        <v>3942081.64</v>
      </c>
      <c r="H727" s="2">
        <v>6881632.71</v>
      </c>
      <c r="I727" s="2">
        <v>10461280.07</v>
      </c>
      <c r="J727" s="2">
        <v>467832</v>
      </c>
      <c r="K727" s="3">
        <v>0</v>
      </c>
      <c r="L727" s="3">
        <v>467832</v>
      </c>
      <c r="M727" s="3">
        <v>103765.72</v>
      </c>
      <c r="N727" s="4" t="s">
        <v>127</v>
      </c>
      <c r="O727" s="3" t="str">
        <f t="shared" si="29"/>
        <v>Other</v>
      </c>
      <c r="P727" s="11">
        <v>8730000</v>
      </c>
      <c r="Q727" s="3">
        <v>4934600000</v>
      </c>
      <c r="R727" s="3">
        <v>3341900000</v>
      </c>
      <c r="S727" s="11">
        <v>13300000</v>
      </c>
    </row>
    <row r="728" spans="1:19" x14ac:dyDescent="0.35">
      <c r="A728" s="1" t="s">
        <v>106</v>
      </c>
      <c r="B728" s="1" t="str">
        <f t="shared" si="30"/>
        <v>Visa</v>
      </c>
      <c r="C728">
        <v>835</v>
      </c>
      <c r="D728">
        <v>0</v>
      </c>
      <c r="E728">
        <v>6212</v>
      </c>
      <c r="F728" s="2">
        <v>2107461.64</v>
      </c>
      <c r="G728" s="2">
        <v>0</v>
      </c>
      <c r="H728" s="2">
        <v>2107461.64</v>
      </c>
      <c r="I728" s="2">
        <v>1940461.64</v>
      </c>
      <c r="J728" s="2">
        <v>167000</v>
      </c>
      <c r="K728" s="3">
        <v>167000</v>
      </c>
      <c r="L728" s="3">
        <v>0</v>
      </c>
      <c r="M728" s="3">
        <v>0</v>
      </c>
      <c r="N728" s="4" t="s">
        <v>127</v>
      </c>
      <c r="O728" s="3" t="str">
        <f t="shared" si="29"/>
        <v>Offline - F&amp;B</v>
      </c>
      <c r="P728" s="11">
        <v>8730000</v>
      </c>
      <c r="Q728" s="3">
        <v>4934600000</v>
      </c>
      <c r="R728" s="3">
        <v>3341900000</v>
      </c>
      <c r="S728" s="11">
        <v>13300000</v>
      </c>
    </row>
    <row r="729" spans="1:19" x14ac:dyDescent="0.35">
      <c r="A729" s="1" t="s">
        <v>107</v>
      </c>
      <c r="B729" s="1" t="str">
        <f t="shared" si="30"/>
        <v>Visa</v>
      </c>
      <c r="C729">
        <v>339</v>
      </c>
      <c r="D729">
        <v>0</v>
      </c>
      <c r="E729">
        <v>1346</v>
      </c>
      <c r="F729" s="2">
        <v>515370.28</v>
      </c>
      <c r="G729" s="2">
        <v>515370.28</v>
      </c>
      <c r="H729" s="2">
        <v>0</v>
      </c>
      <c r="I729" s="2">
        <v>515031.28</v>
      </c>
      <c r="J729" s="2">
        <v>339</v>
      </c>
      <c r="K729" s="3">
        <v>339</v>
      </c>
      <c r="L729" s="3">
        <v>0</v>
      </c>
      <c r="M729" s="3">
        <v>0</v>
      </c>
      <c r="N729" s="4" t="s">
        <v>127</v>
      </c>
      <c r="O729" s="3" t="str">
        <f t="shared" si="29"/>
        <v>Other</v>
      </c>
      <c r="P729" s="11">
        <v>8730000</v>
      </c>
      <c r="Q729" s="3">
        <v>4934600000</v>
      </c>
      <c r="R729" s="3">
        <v>3341900000</v>
      </c>
      <c r="S729" s="11">
        <v>13300000</v>
      </c>
    </row>
    <row r="730" spans="1:19" x14ac:dyDescent="0.35">
      <c r="A730" s="1" t="s">
        <v>108</v>
      </c>
      <c r="B730" s="1" t="str">
        <f t="shared" si="30"/>
        <v>Visa</v>
      </c>
      <c r="C730">
        <v>11838</v>
      </c>
      <c r="D730">
        <v>0</v>
      </c>
      <c r="E730">
        <v>27209</v>
      </c>
      <c r="F730" s="2">
        <v>7533359.9800000004</v>
      </c>
      <c r="G730" s="2">
        <v>0</v>
      </c>
      <c r="H730" s="2">
        <v>7533359.9800000004</v>
      </c>
      <c r="I730" s="2">
        <v>6034475.9800000004</v>
      </c>
      <c r="J730" s="2">
        <v>1498884</v>
      </c>
      <c r="K730" s="3">
        <v>1498884</v>
      </c>
      <c r="L730" s="3">
        <v>0</v>
      </c>
      <c r="M730" s="3">
        <v>0</v>
      </c>
      <c r="N730" s="4" t="s">
        <v>127</v>
      </c>
      <c r="O730" s="3" t="str">
        <f t="shared" si="29"/>
        <v>Offline - F&amp;B</v>
      </c>
      <c r="P730" s="11">
        <v>8730000</v>
      </c>
      <c r="Q730" s="3">
        <v>4934600000</v>
      </c>
      <c r="R730" s="3">
        <v>3341900000</v>
      </c>
      <c r="S730" s="11">
        <v>13300000</v>
      </c>
    </row>
    <row r="731" spans="1:19" x14ac:dyDescent="0.35">
      <c r="A731" s="1" t="s">
        <v>91</v>
      </c>
      <c r="B731" s="1" t="str">
        <f t="shared" si="30"/>
        <v>American Express</v>
      </c>
      <c r="C731">
        <v>275</v>
      </c>
      <c r="D731">
        <v>275</v>
      </c>
      <c r="E731">
        <v>743</v>
      </c>
      <c r="F731" s="2">
        <v>399571.51</v>
      </c>
      <c r="G731" s="2">
        <v>399571.51</v>
      </c>
      <c r="H731" s="2">
        <v>0</v>
      </c>
      <c r="I731" s="2">
        <v>291919</v>
      </c>
      <c r="J731" s="2">
        <v>107652.51</v>
      </c>
      <c r="K731" s="3">
        <v>53826.27</v>
      </c>
      <c r="L731" s="3">
        <v>53826.27</v>
      </c>
      <c r="M731" s="3">
        <v>0</v>
      </c>
      <c r="N731" s="4" t="s">
        <v>132</v>
      </c>
      <c r="O731" s="3" t="str">
        <f t="shared" si="29"/>
        <v>Offline - Box Office</v>
      </c>
      <c r="P731" s="11">
        <v>9363000</v>
      </c>
      <c r="Q731" s="3">
        <v>5854000000</v>
      </c>
      <c r="R731" s="3">
        <v>4006200000</v>
      </c>
      <c r="S731" s="11">
        <v>14300000</v>
      </c>
    </row>
    <row r="732" spans="1:19" x14ac:dyDescent="0.35">
      <c r="A732" s="1" t="s">
        <v>93</v>
      </c>
      <c r="B732" s="1" t="str">
        <f t="shared" si="30"/>
        <v>American Express</v>
      </c>
      <c r="C732">
        <v>1359</v>
      </c>
      <c r="D732">
        <v>1359</v>
      </c>
      <c r="E732">
        <v>3478</v>
      </c>
      <c r="F732" s="2">
        <v>2164302.7599999998</v>
      </c>
      <c r="G732" s="2">
        <v>1935883.24</v>
      </c>
      <c r="H732" s="2">
        <v>29279</v>
      </c>
      <c r="I732" s="2">
        <v>1602715.91</v>
      </c>
      <c r="J732" s="2">
        <v>561586.85</v>
      </c>
      <c r="K732" s="3">
        <v>280793.61</v>
      </c>
      <c r="L732" s="3">
        <v>280793.61</v>
      </c>
      <c r="M732" s="3">
        <v>195054.84</v>
      </c>
      <c r="N732" s="4" t="s">
        <v>132</v>
      </c>
      <c r="O732" s="3" t="str">
        <f t="shared" si="29"/>
        <v>Online</v>
      </c>
      <c r="P732" s="11">
        <v>9363000</v>
      </c>
      <c r="Q732" s="3">
        <v>5854000000</v>
      </c>
      <c r="R732" s="3">
        <v>4006200000</v>
      </c>
      <c r="S732" s="11">
        <v>14300000</v>
      </c>
    </row>
    <row r="733" spans="1:19" x14ac:dyDescent="0.35">
      <c r="A733" s="1" t="s">
        <v>43</v>
      </c>
      <c r="B733" s="1" t="str">
        <f t="shared" si="30"/>
        <v>Axis Bank</v>
      </c>
      <c r="C733">
        <v>32</v>
      </c>
      <c r="D733">
        <v>32</v>
      </c>
      <c r="E733">
        <v>112</v>
      </c>
      <c r="F733" s="2">
        <v>48019.199999999997</v>
      </c>
      <c r="G733" s="2">
        <v>48019.199999999997</v>
      </c>
      <c r="H733" s="2">
        <v>0</v>
      </c>
      <c r="I733" s="2">
        <v>41815.800000000003</v>
      </c>
      <c r="J733" s="2">
        <v>6203.4</v>
      </c>
      <c r="K733" s="3">
        <v>5458.98</v>
      </c>
      <c r="L733" s="3">
        <v>744.42</v>
      </c>
      <c r="M733" s="3">
        <v>0</v>
      </c>
      <c r="N733" s="4" t="s">
        <v>132</v>
      </c>
      <c r="O733" s="3" t="str">
        <f t="shared" si="29"/>
        <v>Offline - Box Office</v>
      </c>
      <c r="P733" s="11">
        <v>9363000</v>
      </c>
      <c r="Q733" s="3">
        <v>5854000000</v>
      </c>
      <c r="R733" s="3">
        <v>4006200000</v>
      </c>
      <c r="S733" s="11">
        <v>14300000</v>
      </c>
    </row>
    <row r="734" spans="1:19" x14ac:dyDescent="0.35">
      <c r="A734" s="1" t="s">
        <v>23</v>
      </c>
      <c r="B734" s="1" t="str">
        <f t="shared" si="30"/>
        <v>Axis Bank</v>
      </c>
      <c r="C734">
        <v>37</v>
      </c>
      <c r="D734">
        <v>37</v>
      </c>
      <c r="E734">
        <v>94</v>
      </c>
      <c r="F734" s="2">
        <v>32761.9</v>
      </c>
      <c r="G734" s="2">
        <v>28953.4</v>
      </c>
      <c r="H734" s="2">
        <v>0</v>
      </c>
      <c r="I734" s="2">
        <v>25653.7</v>
      </c>
      <c r="J734" s="2">
        <v>7108.2</v>
      </c>
      <c r="K734" s="3">
        <v>6041.97</v>
      </c>
      <c r="L734" s="3">
        <v>1066.23</v>
      </c>
      <c r="M734" s="3">
        <v>3708.5</v>
      </c>
      <c r="N734" s="4" t="s">
        <v>132</v>
      </c>
      <c r="O734" s="3" t="str">
        <f t="shared" si="29"/>
        <v>Online</v>
      </c>
      <c r="P734" s="11">
        <v>9363000</v>
      </c>
      <c r="Q734" s="3">
        <v>5854000000</v>
      </c>
      <c r="R734" s="3">
        <v>4006200000</v>
      </c>
      <c r="S734" s="11">
        <v>14300000</v>
      </c>
    </row>
    <row r="735" spans="1:19" x14ac:dyDescent="0.35">
      <c r="A735" s="1" t="s">
        <v>44</v>
      </c>
      <c r="B735" s="1" t="str">
        <f t="shared" si="30"/>
        <v>Axis Bank</v>
      </c>
      <c r="C735">
        <v>335</v>
      </c>
      <c r="D735">
        <v>335</v>
      </c>
      <c r="E735">
        <v>902</v>
      </c>
      <c r="F735" s="2">
        <v>245643.97</v>
      </c>
      <c r="G735" s="2">
        <v>245643.97</v>
      </c>
      <c r="H735" s="2">
        <v>0</v>
      </c>
      <c r="I735" s="2">
        <v>182187.06</v>
      </c>
      <c r="J735" s="2">
        <v>63456.91</v>
      </c>
      <c r="K735" s="3">
        <v>55841.9</v>
      </c>
      <c r="L735" s="3">
        <v>7615.01</v>
      </c>
      <c r="M735" s="3">
        <v>0</v>
      </c>
      <c r="N735" s="4" t="s">
        <v>132</v>
      </c>
      <c r="O735" s="3" t="str">
        <f t="shared" si="29"/>
        <v>Offline - Box Office</v>
      </c>
      <c r="P735" s="11">
        <v>9363000</v>
      </c>
      <c r="Q735" s="3">
        <v>5854000000</v>
      </c>
      <c r="R735" s="3">
        <v>4006200000</v>
      </c>
      <c r="S735" s="11">
        <v>14300000</v>
      </c>
    </row>
    <row r="736" spans="1:19" x14ac:dyDescent="0.35">
      <c r="A736" s="1" t="s">
        <v>24</v>
      </c>
      <c r="B736" s="1" t="str">
        <f t="shared" si="30"/>
        <v>Axis Bank</v>
      </c>
      <c r="C736">
        <v>1465</v>
      </c>
      <c r="D736">
        <v>1465</v>
      </c>
      <c r="E736">
        <v>3483</v>
      </c>
      <c r="F736" s="2">
        <v>1049134.25</v>
      </c>
      <c r="G736" s="2">
        <v>915742.43</v>
      </c>
      <c r="H736" s="2">
        <v>3505</v>
      </c>
      <c r="I736" s="2">
        <v>770926.8</v>
      </c>
      <c r="J736" s="2">
        <v>278207.45</v>
      </c>
      <c r="K736" s="3">
        <v>236476.32</v>
      </c>
      <c r="L736" s="3">
        <v>41731.129999999997</v>
      </c>
      <c r="M736" s="3">
        <v>126924.82</v>
      </c>
      <c r="N736" s="4" t="s">
        <v>132</v>
      </c>
      <c r="O736" s="3" t="str">
        <f t="shared" si="29"/>
        <v>Online</v>
      </c>
      <c r="P736" s="11">
        <v>9363000</v>
      </c>
      <c r="Q736" s="3">
        <v>5854000000</v>
      </c>
      <c r="R736" s="3">
        <v>4006200000</v>
      </c>
      <c r="S736" s="11">
        <v>14300000</v>
      </c>
    </row>
    <row r="737" spans="1:19" x14ac:dyDescent="0.35">
      <c r="A737" s="1" t="s">
        <v>54</v>
      </c>
      <c r="B737" s="1" t="str">
        <f t="shared" si="30"/>
        <v>BOB Card</v>
      </c>
      <c r="C737">
        <v>65</v>
      </c>
      <c r="D737">
        <v>0</v>
      </c>
      <c r="E737">
        <v>133</v>
      </c>
      <c r="F737" s="2">
        <v>66015.429999999993</v>
      </c>
      <c r="G737" s="2">
        <v>54066.93</v>
      </c>
      <c r="H737" s="2">
        <v>10313</v>
      </c>
      <c r="I737" s="2">
        <v>60830.43</v>
      </c>
      <c r="J737" s="2">
        <v>5185</v>
      </c>
      <c r="K737" s="3">
        <v>3629.5</v>
      </c>
      <c r="L737" s="3">
        <v>1555.5</v>
      </c>
      <c r="M737" s="3">
        <v>1599.5</v>
      </c>
      <c r="N737" s="4" t="s">
        <v>132</v>
      </c>
      <c r="O737" s="3" t="str">
        <f t="shared" si="29"/>
        <v>Online</v>
      </c>
      <c r="P737" s="11">
        <v>9363000</v>
      </c>
      <c r="Q737" s="3">
        <v>5854000000</v>
      </c>
      <c r="R737" s="3">
        <v>4006200000</v>
      </c>
      <c r="S737" s="11">
        <v>14300000</v>
      </c>
    </row>
    <row r="738" spans="1:19" x14ac:dyDescent="0.35">
      <c r="A738" s="1" t="s">
        <v>55</v>
      </c>
      <c r="B738" s="1" t="str">
        <f t="shared" si="30"/>
        <v>BOB Card</v>
      </c>
      <c r="C738">
        <v>715</v>
      </c>
      <c r="D738">
        <v>0</v>
      </c>
      <c r="E738">
        <v>2275</v>
      </c>
      <c r="F738" s="2">
        <v>649253.43999999994</v>
      </c>
      <c r="G738" s="2">
        <v>0</v>
      </c>
      <c r="H738" s="2">
        <v>649253.43999999994</v>
      </c>
      <c r="I738" s="2">
        <v>584843.43999999994</v>
      </c>
      <c r="J738" s="2">
        <v>64410</v>
      </c>
      <c r="K738" s="3">
        <v>45087</v>
      </c>
      <c r="L738" s="3">
        <v>19323</v>
      </c>
      <c r="M738" s="3">
        <v>0</v>
      </c>
      <c r="N738" s="4" t="s">
        <v>132</v>
      </c>
      <c r="O738" s="3" t="str">
        <f t="shared" si="29"/>
        <v>Offline - F&amp;B</v>
      </c>
      <c r="P738" s="11">
        <v>9363000</v>
      </c>
      <c r="Q738" s="3">
        <v>5854000000</v>
      </c>
      <c r="R738" s="3">
        <v>4006200000</v>
      </c>
      <c r="S738" s="11">
        <v>14300000</v>
      </c>
    </row>
    <row r="739" spans="1:19" x14ac:dyDescent="0.35">
      <c r="A739" s="1" t="s">
        <v>119</v>
      </c>
      <c r="B739" s="1" t="str">
        <f t="shared" si="30"/>
        <v>AU Bank</v>
      </c>
      <c r="C739">
        <v>31</v>
      </c>
      <c r="D739">
        <v>31</v>
      </c>
      <c r="E739">
        <v>90</v>
      </c>
      <c r="F739" s="2">
        <v>33712</v>
      </c>
      <c r="G739" s="2">
        <v>33712</v>
      </c>
      <c r="H739" s="2">
        <v>0</v>
      </c>
      <c r="I739" s="2">
        <v>26490</v>
      </c>
      <c r="J739" s="2">
        <v>7222</v>
      </c>
      <c r="K739" s="3">
        <v>5055.3999999999996</v>
      </c>
      <c r="L739" s="3">
        <v>2166.6</v>
      </c>
      <c r="M739" s="3">
        <v>0</v>
      </c>
      <c r="N739" s="4" t="s">
        <v>132</v>
      </c>
      <c r="O739" s="3" t="str">
        <f t="shared" si="29"/>
        <v>Offline - Box Office</v>
      </c>
      <c r="P739" s="11">
        <v>9363000</v>
      </c>
      <c r="Q739" s="3">
        <v>5854000000</v>
      </c>
      <c r="R739" s="3">
        <v>4006200000</v>
      </c>
      <c r="S739" s="11">
        <v>14300000</v>
      </c>
    </row>
    <row r="740" spans="1:19" x14ac:dyDescent="0.35">
      <c r="A740" s="1" t="s">
        <v>120</v>
      </c>
      <c r="B740" s="1" t="str">
        <f t="shared" si="30"/>
        <v>AU Bank</v>
      </c>
      <c r="C740">
        <v>67</v>
      </c>
      <c r="D740">
        <v>67</v>
      </c>
      <c r="E740">
        <v>172</v>
      </c>
      <c r="F740" s="2">
        <v>62775.5</v>
      </c>
      <c r="G740" s="2">
        <v>55216.38</v>
      </c>
      <c r="H740" s="2">
        <v>515</v>
      </c>
      <c r="I740" s="2">
        <v>47842.21</v>
      </c>
      <c r="J740" s="2">
        <v>14933.29</v>
      </c>
      <c r="K740" s="3">
        <v>10453.299999999999</v>
      </c>
      <c r="L740" s="3">
        <v>4479.99</v>
      </c>
      <c r="M740" s="3">
        <v>6884.12</v>
      </c>
      <c r="N740" s="4" t="s">
        <v>132</v>
      </c>
      <c r="O740" s="3" t="str">
        <f t="shared" si="29"/>
        <v>Online</v>
      </c>
      <c r="P740" s="11">
        <v>9363000</v>
      </c>
      <c r="Q740" s="3">
        <v>5854000000</v>
      </c>
      <c r="R740" s="3">
        <v>4006200000</v>
      </c>
      <c r="S740" s="11">
        <v>14300000</v>
      </c>
    </row>
    <row r="741" spans="1:19" x14ac:dyDescent="0.35">
      <c r="A741" s="1" t="s">
        <v>73</v>
      </c>
      <c r="B741" s="1" t="str">
        <f t="shared" si="30"/>
        <v>Federal Bank</v>
      </c>
      <c r="C741">
        <v>477</v>
      </c>
      <c r="D741">
        <v>477</v>
      </c>
      <c r="E741">
        <v>1331</v>
      </c>
      <c r="F741" s="2">
        <v>336500.97</v>
      </c>
      <c r="G741" s="2">
        <v>336500.97</v>
      </c>
      <c r="H741" s="2">
        <v>0</v>
      </c>
      <c r="I741" s="2">
        <v>289157.32</v>
      </c>
      <c r="J741" s="2">
        <v>47343.65</v>
      </c>
      <c r="K741" s="3">
        <v>37874.92</v>
      </c>
      <c r="L741" s="3">
        <v>9468.73</v>
      </c>
      <c r="M741" s="3">
        <v>0</v>
      </c>
      <c r="N741" s="4" t="s">
        <v>132</v>
      </c>
      <c r="O741" s="3" t="str">
        <f t="shared" si="29"/>
        <v>Offline - Box Office</v>
      </c>
      <c r="P741" s="11">
        <v>9363000</v>
      </c>
      <c r="Q741" s="3">
        <v>5854000000</v>
      </c>
      <c r="R741" s="3">
        <v>4006200000</v>
      </c>
      <c r="S741" s="11">
        <v>14300000</v>
      </c>
    </row>
    <row r="742" spans="1:19" x14ac:dyDescent="0.35">
      <c r="A742" s="1" t="s">
        <v>74</v>
      </c>
      <c r="B742" s="1" t="str">
        <f t="shared" si="30"/>
        <v>Federal Bank</v>
      </c>
      <c r="C742">
        <v>591</v>
      </c>
      <c r="D742">
        <v>591</v>
      </c>
      <c r="E742">
        <v>1455</v>
      </c>
      <c r="F742" s="2">
        <v>388409.62</v>
      </c>
      <c r="G742" s="2">
        <v>333141.94</v>
      </c>
      <c r="H742" s="2">
        <v>3159</v>
      </c>
      <c r="I742" s="2">
        <v>330205.63</v>
      </c>
      <c r="J742" s="2">
        <v>58203.99</v>
      </c>
      <c r="K742" s="3">
        <v>46563.18</v>
      </c>
      <c r="L742" s="3">
        <v>11640.81</v>
      </c>
      <c r="M742" s="3">
        <v>50966.68</v>
      </c>
      <c r="N742" s="4" t="s">
        <v>132</v>
      </c>
      <c r="O742" s="3" t="str">
        <f t="shared" si="29"/>
        <v>Online</v>
      </c>
      <c r="P742" s="11">
        <v>9363000</v>
      </c>
      <c r="Q742" s="3">
        <v>5854000000</v>
      </c>
      <c r="R742" s="3">
        <v>4006200000</v>
      </c>
      <c r="S742" s="11">
        <v>14300000</v>
      </c>
    </row>
    <row r="743" spans="1:19" x14ac:dyDescent="0.35">
      <c r="A743" s="1" t="s">
        <v>27</v>
      </c>
      <c r="B743" s="1" t="str">
        <f t="shared" si="30"/>
        <v>Federal Bank</v>
      </c>
      <c r="C743">
        <v>48</v>
      </c>
      <c r="D743">
        <v>48</v>
      </c>
      <c r="E743">
        <v>147</v>
      </c>
      <c r="F743" s="2">
        <v>43543</v>
      </c>
      <c r="G743" s="2">
        <v>43543</v>
      </c>
      <c r="H743" s="2">
        <v>0</v>
      </c>
      <c r="I743" s="2">
        <v>38751</v>
      </c>
      <c r="J743" s="2">
        <v>4792</v>
      </c>
      <c r="K743" s="3">
        <v>4792</v>
      </c>
      <c r="L743" s="3">
        <v>0</v>
      </c>
      <c r="M743" s="3">
        <v>0</v>
      </c>
      <c r="N743" s="4" t="s">
        <v>132</v>
      </c>
      <c r="O743" s="3" t="str">
        <f t="shared" si="29"/>
        <v>Offline - Box Office</v>
      </c>
      <c r="P743" s="11">
        <v>9363000</v>
      </c>
      <c r="Q743" s="3">
        <v>5854000000</v>
      </c>
      <c r="R743" s="3">
        <v>4006200000</v>
      </c>
      <c r="S743" s="11">
        <v>14300000</v>
      </c>
    </row>
    <row r="744" spans="1:19" x14ac:dyDescent="0.35">
      <c r="A744" s="1" t="s">
        <v>28</v>
      </c>
      <c r="B744" s="1" t="str">
        <f t="shared" si="30"/>
        <v>Federal Bank</v>
      </c>
      <c r="C744">
        <v>139</v>
      </c>
      <c r="D744">
        <v>139</v>
      </c>
      <c r="E744">
        <v>346</v>
      </c>
      <c r="F744" s="2">
        <v>108399.37</v>
      </c>
      <c r="G744" s="2">
        <v>93078.03</v>
      </c>
      <c r="H744" s="2">
        <v>1329</v>
      </c>
      <c r="I744" s="2">
        <v>94562.559999999998</v>
      </c>
      <c r="J744" s="2">
        <v>13836.81</v>
      </c>
      <c r="K744" s="3">
        <v>13836.81</v>
      </c>
      <c r="L744" s="3">
        <v>0</v>
      </c>
      <c r="M744" s="3">
        <v>13718.34</v>
      </c>
      <c r="N744" s="4" t="s">
        <v>132</v>
      </c>
      <c r="O744" s="3" t="str">
        <f t="shared" si="29"/>
        <v>Online</v>
      </c>
      <c r="P744" s="11">
        <v>9363000</v>
      </c>
      <c r="Q744" s="3">
        <v>5854000000</v>
      </c>
      <c r="R744" s="3">
        <v>4006200000</v>
      </c>
      <c r="S744" s="11">
        <v>14300000</v>
      </c>
    </row>
    <row r="745" spans="1:19" x14ac:dyDescent="0.35">
      <c r="A745" s="1" t="s">
        <v>29</v>
      </c>
      <c r="B745" s="1" t="str">
        <f t="shared" si="30"/>
        <v>Federal Bank</v>
      </c>
      <c r="C745">
        <v>290</v>
      </c>
      <c r="D745">
        <v>290</v>
      </c>
      <c r="E745">
        <v>803</v>
      </c>
      <c r="F745" s="2">
        <v>205931.58</v>
      </c>
      <c r="G745" s="2">
        <v>205931.58</v>
      </c>
      <c r="H745" s="2">
        <v>0</v>
      </c>
      <c r="I745" s="2">
        <v>177024.42</v>
      </c>
      <c r="J745" s="2">
        <v>28907.16</v>
      </c>
      <c r="K745" s="3">
        <v>28907.16</v>
      </c>
      <c r="L745" s="3">
        <v>0</v>
      </c>
      <c r="M745" s="3">
        <v>0</v>
      </c>
      <c r="N745" s="4" t="s">
        <v>132</v>
      </c>
      <c r="O745" s="3" t="str">
        <f t="shared" si="29"/>
        <v>Offline - Box Office</v>
      </c>
      <c r="P745" s="11">
        <v>9363000</v>
      </c>
      <c r="Q745" s="3">
        <v>5854000000</v>
      </c>
      <c r="R745" s="3">
        <v>4006200000</v>
      </c>
      <c r="S745" s="11">
        <v>14300000</v>
      </c>
    </row>
    <row r="746" spans="1:19" x14ac:dyDescent="0.35">
      <c r="A746" s="1" t="s">
        <v>30</v>
      </c>
      <c r="B746" s="1" t="str">
        <f t="shared" si="30"/>
        <v>Federal Bank</v>
      </c>
      <c r="C746">
        <v>422</v>
      </c>
      <c r="D746">
        <v>422</v>
      </c>
      <c r="E746">
        <v>1046</v>
      </c>
      <c r="F746" s="2">
        <v>287512.52</v>
      </c>
      <c r="G746" s="2">
        <v>246160.04</v>
      </c>
      <c r="H746" s="2">
        <v>3565</v>
      </c>
      <c r="I746" s="2">
        <v>245901.52</v>
      </c>
      <c r="J746" s="2">
        <v>41611</v>
      </c>
      <c r="K746" s="3">
        <v>41611</v>
      </c>
      <c r="L746" s="3">
        <v>0</v>
      </c>
      <c r="M746" s="3">
        <v>36799.480000000003</v>
      </c>
      <c r="N746" s="4" t="s">
        <v>132</v>
      </c>
      <c r="O746" s="3" t="str">
        <f t="shared" si="29"/>
        <v>Online</v>
      </c>
      <c r="P746" s="11">
        <v>9363000</v>
      </c>
      <c r="Q746" s="3">
        <v>5854000000</v>
      </c>
      <c r="R746" s="3">
        <v>4006200000</v>
      </c>
      <c r="S746" s="11">
        <v>14300000</v>
      </c>
    </row>
    <row r="747" spans="1:19" x14ac:dyDescent="0.35">
      <c r="A747" s="1" t="s">
        <v>121</v>
      </c>
      <c r="B747" s="1" t="str">
        <f t="shared" si="30"/>
        <v>AU Bank</v>
      </c>
      <c r="C747">
        <v>147</v>
      </c>
      <c r="D747">
        <v>0</v>
      </c>
      <c r="E747">
        <v>463</v>
      </c>
      <c r="F747" s="2">
        <v>147006</v>
      </c>
      <c r="G747" s="2">
        <v>147006</v>
      </c>
      <c r="H747" s="2">
        <v>0</v>
      </c>
      <c r="I747" s="2">
        <v>126435</v>
      </c>
      <c r="J747" s="2">
        <v>20571</v>
      </c>
      <c r="K747" s="3">
        <v>14399.7</v>
      </c>
      <c r="L747" s="3">
        <v>6171.3</v>
      </c>
      <c r="M747" s="3">
        <v>0</v>
      </c>
      <c r="N747" s="4" t="s">
        <v>132</v>
      </c>
      <c r="O747" s="3" t="str">
        <f t="shared" si="29"/>
        <v>Offline - Box Office</v>
      </c>
      <c r="P747" s="11">
        <v>9363000</v>
      </c>
      <c r="Q747" s="3">
        <v>5854000000</v>
      </c>
      <c r="R747" s="3">
        <v>4006200000</v>
      </c>
      <c r="S747" s="11">
        <v>14300000</v>
      </c>
    </row>
    <row r="748" spans="1:19" x14ac:dyDescent="0.35">
      <c r="A748" s="1" t="s">
        <v>122</v>
      </c>
      <c r="B748" s="1" t="str">
        <f t="shared" si="30"/>
        <v>AU Bank</v>
      </c>
      <c r="C748">
        <v>68</v>
      </c>
      <c r="D748">
        <v>0</v>
      </c>
      <c r="E748">
        <v>188</v>
      </c>
      <c r="F748" s="2">
        <v>67857</v>
      </c>
      <c r="G748" s="2">
        <v>57877.96</v>
      </c>
      <c r="H748" s="2">
        <v>1920</v>
      </c>
      <c r="I748" s="2">
        <v>58519</v>
      </c>
      <c r="J748" s="2">
        <v>9338</v>
      </c>
      <c r="K748" s="3">
        <v>6536.6</v>
      </c>
      <c r="L748" s="3">
        <v>2801.4</v>
      </c>
      <c r="M748" s="3">
        <v>7905.04</v>
      </c>
      <c r="N748" s="4" t="s">
        <v>132</v>
      </c>
      <c r="O748" s="3" t="str">
        <f t="shared" si="29"/>
        <v>Online</v>
      </c>
      <c r="P748" s="11">
        <v>9363000</v>
      </c>
      <c r="Q748" s="3">
        <v>5854000000</v>
      </c>
      <c r="R748" s="3">
        <v>4006200000</v>
      </c>
      <c r="S748" s="11">
        <v>14300000</v>
      </c>
    </row>
    <row r="749" spans="1:19" x14ac:dyDescent="0.35">
      <c r="A749" s="1" t="s">
        <v>123</v>
      </c>
      <c r="B749" s="1" t="str">
        <f t="shared" si="30"/>
        <v>AU Bank</v>
      </c>
      <c r="C749">
        <v>221</v>
      </c>
      <c r="D749">
        <v>0</v>
      </c>
      <c r="E749">
        <v>728</v>
      </c>
      <c r="F749" s="2">
        <v>219407</v>
      </c>
      <c r="G749" s="2">
        <v>219407</v>
      </c>
      <c r="H749" s="2">
        <v>0</v>
      </c>
      <c r="I749" s="2">
        <v>197307</v>
      </c>
      <c r="J749" s="2">
        <v>22100</v>
      </c>
      <c r="K749" s="3">
        <v>15470</v>
      </c>
      <c r="L749" s="3">
        <v>6630</v>
      </c>
      <c r="M749" s="3">
        <v>0</v>
      </c>
      <c r="N749" s="4" t="s">
        <v>132</v>
      </c>
      <c r="O749" s="3" t="str">
        <f t="shared" si="29"/>
        <v>Offline - Box Office</v>
      </c>
      <c r="P749" s="11">
        <v>9363000</v>
      </c>
      <c r="Q749" s="3">
        <v>5854000000</v>
      </c>
      <c r="R749" s="3">
        <v>4006200000</v>
      </c>
      <c r="S749" s="11">
        <v>14300000</v>
      </c>
    </row>
    <row r="750" spans="1:19" x14ac:dyDescent="0.35">
      <c r="A750" s="1" t="s">
        <v>124</v>
      </c>
      <c r="B750" s="1" t="str">
        <f t="shared" si="30"/>
        <v>AU Bank</v>
      </c>
      <c r="C750">
        <v>65</v>
      </c>
      <c r="D750">
        <v>0</v>
      </c>
      <c r="E750">
        <v>181</v>
      </c>
      <c r="F750" s="2">
        <v>60621.88</v>
      </c>
      <c r="G750" s="2">
        <v>52958.6</v>
      </c>
      <c r="H750" s="2">
        <v>280</v>
      </c>
      <c r="I750" s="2">
        <v>54121.88</v>
      </c>
      <c r="J750" s="2">
        <v>6500</v>
      </c>
      <c r="K750" s="3">
        <v>4550</v>
      </c>
      <c r="L750" s="3">
        <v>1950</v>
      </c>
      <c r="M750" s="3">
        <v>7235.28</v>
      </c>
      <c r="N750" s="4" t="s">
        <v>132</v>
      </c>
      <c r="O750" s="3" t="str">
        <f t="shared" si="29"/>
        <v>Online</v>
      </c>
      <c r="P750" s="11">
        <v>9363000</v>
      </c>
      <c r="Q750" s="3">
        <v>5854000000</v>
      </c>
      <c r="R750" s="3">
        <v>4006200000</v>
      </c>
      <c r="S750" s="11">
        <v>14300000</v>
      </c>
    </row>
    <row r="751" spans="1:19" x14ac:dyDescent="0.35">
      <c r="A751" s="1" t="s">
        <v>133</v>
      </c>
      <c r="B751" s="1" t="str">
        <f t="shared" si="30"/>
        <v>HDFC Bank</v>
      </c>
      <c r="C751">
        <v>58</v>
      </c>
      <c r="D751">
        <v>0</v>
      </c>
      <c r="E751">
        <v>111</v>
      </c>
      <c r="F751" s="2">
        <v>41733.040000000001</v>
      </c>
      <c r="G751" s="2">
        <v>0</v>
      </c>
      <c r="H751" s="2">
        <v>41733.040000000001</v>
      </c>
      <c r="I751" s="2">
        <v>35933.040000000001</v>
      </c>
      <c r="J751" s="2">
        <v>5800</v>
      </c>
      <c r="K751" s="3">
        <v>5800</v>
      </c>
      <c r="L751" s="3">
        <v>0</v>
      </c>
      <c r="M751" s="3">
        <v>0</v>
      </c>
      <c r="N751" s="4" t="s">
        <v>132</v>
      </c>
      <c r="O751" s="3" t="str">
        <f t="shared" si="29"/>
        <v>Offline - F&amp;B</v>
      </c>
      <c r="P751" s="11">
        <v>9363000</v>
      </c>
      <c r="Q751" s="3">
        <v>5854000000</v>
      </c>
      <c r="R751" s="3">
        <v>4006200000</v>
      </c>
      <c r="S751" s="11">
        <v>14300000</v>
      </c>
    </row>
    <row r="752" spans="1:19" x14ac:dyDescent="0.35">
      <c r="A752" s="1" t="s">
        <v>32</v>
      </c>
      <c r="B752" s="1" t="str">
        <f t="shared" si="30"/>
        <v>ICICI Bank</v>
      </c>
      <c r="C752">
        <v>3650</v>
      </c>
      <c r="D752">
        <v>0</v>
      </c>
      <c r="E752">
        <v>10486</v>
      </c>
      <c r="F752" s="2">
        <v>2875729.62</v>
      </c>
      <c r="G752" s="2">
        <v>2875729.62</v>
      </c>
      <c r="H752" s="2">
        <v>0</v>
      </c>
      <c r="I752" s="2">
        <v>2497138.62</v>
      </c>
      <c r="J752" s="2">
        <v>378591</v>
      </c>
      <c r="K752" s="3">
        <v>333160.08</v>
      </c>
      <c r="L752" s="3">
        <v>45430.92</v>
      </c>
      <c r="M752" s="3">
        <v>0</v>
      </c>
      <c r="N752" s="4" t="s">
        <v>132</v>
      </c>
      <c r="O752" s="3" t="str">
        <f t="shared" si="29"/>
        <v>Offline - Box Office</v>
      </c>
      <c r="P752" s="11">
        <v>9363000</v>
      </c>
      <c r="Q752" s="3">
        <v>5854000000</v>
      </c>
      <c r="R752" s="3">
        <v>4006200000</v>
      </c>
      <c r="S752" s="11">
        <v>14300000</v>
      </c>
    </row>
    <row r="753" spans="1:19" x14ac:dyDescent="0.35">
      <c r="A753" s="1" t="s">
        <v>33</v>
      </c>
      <c r="B753" s="1" t="str">
        <f t="shared" si="30"/>
        <v>ICICI Bank</v>
      </c>
      <c r="C753">
        <v>1587</v>
      </c>
      <c r="D753">
        <v>0</v>
      </c>
      <c r="E753">
        <v>4389</v>
      </c>
      <c r="F753" s="2">
        <v>1434210.6</v>
      </c>
      <c r="G753" s="2">
        <v>1230543.24</v>
      </c>
      <c r="H753" s="2">
        <v>29903</v>
      </c>
      <c r="I753" s="2">
        <v>1263939.6000000001</v>
      </c>
      <c r="J753" s="2">
        <v>170271</v>
      </c>
      <c r="K753" s="3">
        <v>144730.35</v>
      </c>
      <c r="L753" s="3">
        <v>25540.65</v>
      </c>
      <c r="M753" s="3">
        <v>169986.36</v>
      </c>
      <c r="N753" s="4" t="s">
        <v>132</v>
      </c>
      <c r="O753" s="3" t="str">
        <f t="shared" si="29"/>
        <v>Online</v>
      </c>
      <c r="P753" s="11">
        <v>9363000</v>
      </c>
      <c r="Q753" s="3">
        <v>5854000000</v>
      </c>
      <c r="R753" s="3">
        <v>4006200000</v>
      </c>
      <c r="S753" s="11">
        <v>14300000</v>
      </c>
    </row>
    <row r="754" spans="1:19" x14ac:dyDescent="0.35">
      <c r="A754" s="1" t="s">
        <v>34</v>
      </c>
      <c r="B754" s="1" t="str">
        <f t="shared" si="30"/>
        <v>ICICI Bank</v>
      </c>
      <c r="C754">
        <v>406</v>
      </c>
      <c r="D754">
        <v>0</v>
      </c>
      <c r="E754">
        <v>1207</v>
      </c>
      <c r="F754" s="2">
        <v>343346.6</v>
      </c>
      <c r="G754" s="2">
        <v>343346.6</v>
      </c>
      <c r="H754" s="2">
        <v>0</v>
      </c>
      <c r="I754" s="2">
        <v>321758.59999999998</v>
      </c>
      <c r="J754" s="2">
        <v>21588</v>
      </c>
      <c r="K754" s="3">
        <v>18997.439999999999</v>
      </c>
      <c r="L754" s="3">
        <v>2590.56</v>
      </c>
      <c r="M754" s="3">
        <v>0</v>
      </c>
      <c r="N754" s="4" t="s">
        <v>132</v>
      </c>
      <c r="O754" s="3" t="str">
        <f t="shared" si="29"/>
        <v>Offline - Box Office</v>
      </c>
      <c r="P754" s="11">
        <v>9363000</v>
      </c>
      <c r="Q754" s="3">
        <v>5854000000</v>
      </c>
      <c r="R754" s="3">
        <v>4006200000</v>
      </c>
      <c r="S754" s="11">
        <v>14300000</v>
      </c>
    </row>
    <row r="755" spans="1:19" x14ac:dyDescent="0.35">
      <c r="A755" s="1" t="s">
        <v>35</v>
      </c>
      <c r="B755" s="1" t="str">
        <f t="shared" si="30"/>
        <v>ICICI Bank</v>
      </c>
      <c r="C755">
        <v>161</v>
      </c>
      <c r="D755">
        <v>0</v>
      </c>
      <c r="E755">
        <v>451</v>
      </c>
      <c r="F755" s="2">
        <v>148936.31</v>
      </c>
      <c r="G755" s="2">
        <v>128242.81</v>
      </c>
      <c r="H755" s="2">
        <v>3378</v>
      </c>
      <c r="I755" s="2">
        <v>139946.31</v>
      </c>
      <c r="J755" s="2">
        <v>8990</v>
      </c>
      <c r="K755" s="3">
        <v>7641.5</v>
      </c>
      <c r="L755" s="3">
        <v>1348.5</v>
      </c>
      <c r="M755" s="3">
        <v>16903.5</v>
      </c>
      <c r="N755" s="4" t="s">
        <v>132</v>
      </c>
      <c r="O755" s="3" t="str">
        <f t="shared" si="29"/>
        <v>Online</v>
      </c>
      <c r="P755" s="11">
        <v>9363000</v>
      </c>
      <c r="Q755" s="3">
        <v>5854000000</v>
      </c>
      <c r="R755" s="3">
        <v>4006200000</v>
      </c>
      <c r="S755" s="11">
        <v>14300000</v>
      </c>
    </row>
    <row r="756" spans="1:19" x14ac:dyDescent="0.35">
      <c r="A756" s="1" t="s">
        <v>48</v>
      </c>
      <c r="B756" s="1" t="str">
        <f t="shared" si="30"/>
        <v>IDBI Bank</v>
      </c>
      <c r="C756">
        <v>287</v>
      </c>
      <c r="D756">
        <v>0</v>
      </c>
      <c r="E756">
        <v>756</v>
      </c>
      <c r="F756" s="2">
        <v>216936.87</v>
      </c>
      <c r="G756" s="2">
        <v>216936.87</v>
      </c>
      <c r="H756" s="2">
        <v>0</v>
      </c>
      <c r="I756" s="2">
        <v>183196.87</v>
      </c>
      <c r="J756" s="2">
        <v>33740</v>
      </c>
      <c r="K756" s="3">
        <v>33740</v>
      </c>
      <c r="L756" s="3">
        <v>0</v>
      </c>
      <c r="M756" s="3">
        <v>0</v>
      </c>
      <c r="N756" s="4" t="s">
        <v>132</v>
      </c>
      <c r="O756" s="3" t="str">
        <f t="shared" si="29"/>
        <v>Offline - Box Office</v>
      </c>
      <c r="P756" s="11">
        <v>9363000</v>
      </c>
      <c r="Q756" s="3">
        <v>5854000000</v>
      </c>
      <c r="R756" s="3">
        <v>4006200000</v>
      </c>
      <c r="S756" s="11">
        <v>14300000</v>
      </c>
    </row>
    <row r="757" spans="1:19" x14ac:dyDescent="0.35">
      <c r="A757" s="1" t="s">
        <v>37</v>
      </c>
      <c r="B757" s="1" t="str">
        <f t="shared" si="30"/>
        <v>IDBI Bank</v>
      </c>
      <c r="C757">
        <v>331</v>
      </c>
      <c r="D757">
        <v>0</v>
      </c>
      <c r="E757">
        <v>733</v>
      </c>
      <c r="F757" s="2">
        <v>249264.68</v>
      </c>
      <c r="G757" s="2">
        <v>216537.82</v>
      </c>
      <c r="H757" s="2">
        <v>5354</v>
      </c>
      <c r="I757" s="2">
        <v>209060.68</v>
      </c>
      <c r="J757" s="2">
        <v>40204</v>
      </c>
      <c r="K757" s="3">
        <v>40204</v>
      </c>
      <c r="L757" s="3">
        <v>0</v>
      </c>
      <c r="M757" s="3">
        <v>26778.86</v>
      </c>
      <c r="N757" s="4" t="s">
        <v>132</v>
      </c>
      <c r="O757" s="3" t="str">
        <f t="shared" si="29"/>
        <v>Online</v>
      </c>
      <c r="P757" s="11">
        <v>9363000</v>
      </c>
      <c r="Q757" s="3">
        <v>5854000000</v>
      </c>
      <c r="R757" s="3">
        <v>4006200000</v>
      </c>
      <c r="S757" s="11">
        <v>14300000</v>
      </c>
    </row>
    <row r="758" spans="1:19" x14ac:dyDescent="0.35">
      <c r="A758" s="1" t="s">
        <v>49</v>
      </c>
      <c r="B758" s="1" t="str">
        <f t="shared" si="30"/>
        <v>IDBI Bank</v>
      </c>
      <c r="C758">
        <v>555</v>
      </c>
      <c r="D758">
        <v>0</v>
      </c>
      <c r="E758">
        <v>1505</v>
      </c>
      <c r="F758" s="2">
        <v>393157.93</v>
      </c>
      <c r="G758" s="2">
        <v>0</v>
      </c>
      <c r="H758" s="2">
        <v>393157.93</v>
      </c>
      <c r="I758" s="2">
        <v>327609.93</v>
      </c>
      <c r="J758" s="2">
        <v>65548</v>
      </c>
      <c r="K758" s="3">
        <v>45883.6</v>
      </c>
      <c r="L758" s="3">
        <v>19664.400000000001</v>
      </c>
      <c r="M758" s="3">
        <v>0</v>
      </c>
      <c r="N758" s="4" t="s">
        <v>132</v>
      </c>
      <c r="O758" s="3" t="str">
        <f t="shared" si="29"/>
        <v>Offline - F&amp;B</v>
      </c>
      <c r="P758" s="11">
        <v>9363000</v>
      </c>
      <c r="Q758" s="3">
        <v>5854000000</v>
      </c>
      <c r="R758" s="3">
        <v>4006200000</v>
      </c>
      <c r="S758" s="11">
        <v>14300000</v>
      </c>
    </row>
    <row r="759" spans="1:19" x14ac:dyDescent="0.35">
      <c r="A759" s="1" t="s">
        <v>52</v>
      </c>
      <c r="B759" s="1" t="str">
        <f t="shared" si="30"/>
        <v>Kotak Mahindra Bank</v>
      </c>
      <c r="C759">
        <v>3</v>
      </c>
      <c r="D759">
        <v>3</v>
      </c>
      <c r="E759">
        <v>6</v>
      </c>
      <c r="F759" s="2">
        <v>5897.4</v>
      </c>
      <c r="G759" s="2">
        <v>5500</v>
      </c>
      <c r="H759" s="2">
        <v>0</v>
      </c>
      <c r="I759" s="2">
        <v>3597.4</v>
      </c>
      <c r="J759" s="2">
        <v>2300</v>
      </c>
      <c r="K759" s="3">
        <v>2300</v>
      </c>
      <c r="L759" s="3">
        <v>0</v>
      </c>
      <c r="M759" s="3">
        <v>389.4</v>
      </c>
      <c r="N759" s="4" t="s">
        <v>132</v>
      </c>
      <c r="O759" s="3" t="str">
        <f t="shared" si="29"/>
        <v>Online</v>
      </c>
      <c r="P759" s="11">
        <v>9363000</v>
      </c>
      <c r="Q759" s="3">
        <v>5854000000</v>
      </c>
      <c r="R759" s="3">
        <v>4006200000</v>
      </c>
      <c r="S759" s="11">
        <v>14300000</v>
      </c>
    </row>
    <row r="760" spans="1:19" x14ac:dyDescent="0.35">
      <c r="A760" s="1" t="s">
        <v>134</v>
      </c>
      <c r="B760" s="1" t="str">
        <f t="shared" si="30"/>
        <v>Kotak Mahindra Bank</v>
      </c>
      <c r="C760">
        <v>8</v>
      </c>
      <c r="D760">
        <v>8</v>
      </c>
      <c r="E760">
        <v>19</v>
      </c>
      <c r="F760" s="2">
        <v>6985.72</v>
      </c>
      <c r="G760" s="2">
        <v>6108</v>
      </c>
      <c r="H760" s="2">
        <v>0</v>
      </c>
      <c r="I760" s="2">
        <v>5186.72</v>
      </c>
      <c r="J760" s="2">
        <v>1799</v>
      </c>
      <c r="K760" s="3">
        <v>1799</v>
      </c>
      <c r="L760" s="3">
        <v>0</v>
      </c>
      <c r="M760" s="3">
        <v>851.72</v>
      </c>
      <c r="N760" s="4" t="s">
        <v>132</v>
      </c>
      <c r="O760" s="3" t="str">
        <f t="shared" si="29"/>
        <v>Online</v>
      </c>
      <c r="P760" s="11">
        <v>9363000</v>
      </c>
      <c r="Q760" s="3">
        <v>5854000000</v>
      </c>
      <c r="R760" s="3">
        <v>4006200000</v>
      </c>
      <c r="S760" s="11">
        <v>14300000</v>
      </c>
    </row>
    <row r="761" spans="1:19" x14ac:dyDescent="0.35">
      <c r="A761" s="1" t="s">
        <v>130</v>
      </c>
      <c r="B761" s="1" t="str">
        <f t="shared" si="30"/>
        <v>Kotak Mahindra Bank</v>
      </c>
      <c r="C761">
        <v>95</v>
      </c>
      <c r="D761">
        <v>95</v>
      </c>
      <c r="E761">
        <v>203</v>
      </c>
      <c r="F761" s="2">
        <v>157869.38</v>
      </c>
      <c r="G761" s="2">
        <v>144206</v>
      </c>
      <c r="H761" s="2">
        <v>0</v>
      </c>
      <c r="I761" s="2">
        <v>98315.38</v>
      </c>
      <c r="J761" s="2">
        <v>59554</v>
      </c>
      <c r="K761" s="3">
        <v>59554</v>
      </c>
      <c r="L761" s="3">
        <v>0</v>
      </c>
      <c r="M761" s="3">
        <v>13445.38</v>
      </c>
      <c r="N761" s="4" t="s">
        <v>132</v>
      </c>
      <c r="O761" s="3" t="str">
        <f t="shared" si="29"/>
        <v>Online</v>
      </c>
      <c r="P761" s="11">
        <v>9363000</v>
      </c>
      <c r="Q761" s="3">
        <v>5854000000</v>
      </c>
      <c r="R761" s="3">
        <v>4006200000</v>
      </c>
      <c r="S761" s="11">
        <v>14300000</v>
      </c>
    </row>
    <row r="762" spans="1:19" x14ac:dyDescent="0.35">
      <c r="A762" s="1" t="s">
        <v>38</v>
      </c>
      <c r="B762" s="1" t="str">
        <f t="shared" si="30"/>
        <v>Kotak Mahindra Bank</v>
      </c>
      <c r="C762">
        <v>19038</v>
      </c>
      <c r="D762">
        <v>0</v>
      </c>
      <c r="E762">
        <v>46508</v>
      </c>
      <c r="F762" s="2">
        <v>11969099.550000001</v>
      </c>
      <c r="G762" s="2">
        <v>550362.87</v>
      </c>
      <c r="H762" s="2">
        <v>11411058.960000001</v>
      </c>
      <c r="I762" s="2">
        <v>9587319.5500000007</v>
      </c>
      <c r="J762" s="2">
        <v>2381780</v>
      </c>
      <c r="K762" s="3">
        <v>0</v>
      </c>
      <c r="L762" s="3">
        <v>2381780</v>
      </c>
      <c r="M762" s="3">
        <v>7499.72</v>
      </c>
      <c r="N762" s="4" t="s">
        <v>132</v>
      </c>
      <c r="O762" s="3" t="str">
        <f t="shared" si="29"/>
        <v>Other</v>
      </c>
      <c r="P762" s="11">
        <v>9363000</v>
      </c>
      <c r="Q762" s="3">
        <v>5854000000</v>
      </c>
      <c r="R762" s="3">
        <v>4006200000</v>
      </c>
      <c r="S762" s="11">
        <v>14300000</v>
      </c>
    </row>
    <row r="763" spans="1:19" x14ac:dyDescent="0.35">
      <c r="A763" s="1" t="s">
        <v>58</v>
      </c>
      <c r="B763" s="1" t="str">
        <f t="shared" si="30"/>
        <v>Kotak Mahindra Bank</v>
      </c>
      <c r="C763">
        <v>1566</v>
      </c>
      <c r="D763">
        <v>0</v>
      </c>
      <c r="E763">
        <v>4063</v>
      </c>
      <c r="F763" s="2">
        <v>1413596.9</v>
      </c>
      <c r="G763" s="2">
        <v>1255920.44</v>
      </c>
      <c r="H763" s="2">
        <v>3540</v>
      </c>
      <c r="I763" s="2">
        <v>1392314.85</v>
      </c>
      <c r="J763" s="2">
        <v>21282</v>
      </c>
      <c r="K763" s="3">
        <v>0</v>
      </c>
      <c r="L763" s="3">
        <v>21282</v>
      </c>
      <c r="M763" s="3">
        <v>151706.46</v>
      </c>
      <c r="N763" s="4" t="s">
        <v>132</v>
      </c>
      <c r="O763" s="3" t="str">
        <f t="shared" si="29"/>
        <v>Other</v>
      </c>
      <c r="P763" s="11">
        <v>9363000</v>
      </c>
      <c r="Q763" s="3">
        <v>5854000000</v>
      </c>
      <c r="R763" s="3">
        <v>4006200000</v>
      </c>
      <c r="S763" s="11">
        <v>14300000</v>
      </c>
    </row>
    <row r="764" spans="1:19" x14ac:dyDescent="0.35">
      <c r="A764" s="1" t="s">
        <v>135</v>
      </c>
      <c r="B764" s="1" t="str">
        <f t="shared" si="30"/>
        <v>Kotak Mahindra Bank</v>
      </c>
      <c r="C764">
        <v>4</v>
      </c>
      <c r="D764">
        <v>4</v>
      </c>
      <c r="E764">
        <v>11</v>
      </c>
      <c r="F764" s="2">
        <v>9167.1200000000008</v>
      </c>
      <c r="G764" s="2">
        <v>8470</v>
      </c>
      <c r="H764" s="2">
        <v>0</v>
      </c>
      <c r="I764" s="2">
        <v>6547.12</v>
      </c>
      <c r="J764" s="2">
        <v>2620</v>
      </c>
      <c r="K764" s="3">
        <v>2620</v>
      </c>
      <c r="L764" s="3">
        <v>0</v>
      </c>
      <c r="M764" s="3">
        <v>689.12</v>
      </c>
      <c r="N764" s="4" t="s">
        <v>132</v>
      </c>
      <c r="O764" s="3" t="str">
        <f t="shared" si="29"/>
        <v>Online</v>
      </c>
      <c r="P764" s="11">
        <v>9363000</v>
      </c>
      <c r="Q764" s="3">
        <v>5854000000</v>
      </c>
      <c r="R764" s="3">
        <v>4006200000</v>
      </c>
      <c r="S764" s="11">
        <v>14300000</v>
      </c>
    </row>
    <row r="765" spans="1:19" x14ac:dyDescent="0.35">
      <c r="A765" s="1" t="s">
        <v>131</v>
      </c>
      <c r="B765" s="1" t="str">
        <f t="shared" si="30"/>
        <v>Kotak Mahindra Bank</v>
      </c>
      <c r="C765">
        <v>165</v>
      </c>
      <c r="D765">
        <v>165</v>
      </c>
      <c r="E765">
        <v>419</v>
      </c>
      <c r="F765" s="2">
        <v>116064.65</v>
      </c>
      <c r="G765" s="2">
        <v>99768.51</v>
      </c>
      <c r="H765" s="2">
        <v>1526</v>
      </c>
      <c r="I765" s="2">
        <v>76394.34</v>
      </c>
      <c r="J765" s="2">
        <v>39670.31</v>
      </c>
      <c r="K765" s="3">
        <v>39670.31</v>
      </c>
      <c r="L765" s="3">
        <v>0</v>
      </c>
      <c r="M765" s="3">
        <v>14420.14</v>
      </c>
      <c r="N765" s="4" t="s">
        <v>132</v>
      </c>
      <c r="O765" s="3" t="str">
        <f t="shared" si="29"/>
        <v>Online</v>
      </c>
      <c r="P765" s="11">
        <v>9363000</v>
      </c>
      <c r="Q765" s="3">
        <v>5854000000</v>
      </c>
      <c r="R765" s="3">
        <v>4006200000</v>
      </c>
      <c r="S765" s="11">
        <v>14300000</v>
      </c>
    </row>
    <row r="766" spans="1:19" x14ac:dyDescent="0.35">
      <c r="A766" s="1" t="s">
        <v>40</v>
      </c>
      <c r="B766" s="1" t="str">
        <f t="shared" si="30"/>
        <v>Standard Chartered Bank</v>
      </c>
      <c r="C766">
        <v>5</v>
      </c>
      <c r="D766">
        <v>5</v>
      </c>
      <c r="E766">
        <v>10</v>
      </c>
      <c r="F766" s="2">
        <v>2660</v>
      </c>
      <c r="G766" s="2">
        <v>2660</v>
      </c>
      <c r="H766" s="2">
        <v>0</v>
      </c>
      <c r="I766" s="2">
        <v>1660</v>
      </c>
      <c r="J766" s="2">
        <v>1000</v>
      </c>
      <c r="K766" s="3">
        <v>1000</v>
      </c>
      <c r="L766" s="3">
        <v>0</v>
      </c>
      <c r="M766" s="3">
        <v>0</v>
      </c>
      <c r="N766" s="4" t="s">
        <v>132</v>
      </c>
      <c r="O766" s="3" t="str">
        <f t="shared" si="29"/>
        <v>Offline - Box Office</v>
      </c>
      <c r="P766" s="11">
        <v>9363000</v>
      </c>
      <c r="Q766" s="3">
        <v>5854000000</v>
      </c>
      <c r="R766" s="3">
        <v>4006200000</v>
      </c>
      <c r="S766" s="11">
        <v>14300000</v>
      </c>
    </row>
    <row r="767" spans="1:19" x14ac:dyDescent="0.35">
      <c r="A767" s="1" t="s">
        <v>41</v>
      </c>
      <c r="B767" s="1" t="str">
        <f t="shared" si="30"/>
        <v>Standard Chartered Bank</v>
      </c>
      <c r="C767">
        <v>42</v>
      </c>
      <c r="D767">
        <v>42</v>
      </c>
      <c r="E767">
        <v>94</v>
      </c>
      <c r="F767" s="2">
        <v>30454.33</v>
      </c>
      <c r="G767" s="2">
        <v>26809.39</v>
      </c>
      <c r="H767" s="2">
        <v>0</v>
      </c>
      <c r="I767" s="2">
        <v>22296.49</v>
      </c>
      <c r="J767" s="2">
        <v>8157.84</v>
      </c>
      <c r="K767" s="3">
        <v>8157.84</v>
      </c>
      <c r="L767" s="3">
        <v>0</v>
      </c>
      <c r="M767" s="3">
        <v>3578.94</v>
      </c>
      <c r="N767" s="4" t="s">
        <v>132</v>
      </c>
      <c r="O767" s="3" t="str">
        <f t="shared" si="29"/>
        <v>Online</v>
      </c>
      <c r="P767" s="11">
        <v>9363000</v>
      </c>
      <c r="Q767" s="3">
        <v>5854000000</v>
      </c>
      <c r="R767" s="3">
        <v>4006200000</v>
      </c>
      <c r="S767" s="11">
        <v>14300000</v>
      </c>
    </row>
    <row r="768" spans="1:19" x14ac:dyDescent="0.35">
      <c r="A768" s="1" t="s">
        <v>125</v>
      </c>
      <c r="B768" s="1" t="str">
        <f t="shared" si="30"/>
        <v>HDFC Bank</v>
      </c>
      <c r="C768">
        <v>6250</v>
      </c>
      <c r="D768">
        <v>0</v>
      </c>
      <c r="E768">
        <v>37397</v>
      </c>
      <c r="F768" s="2">
        <v>13381250.01</v>
      </c>
      <c r="G768" s="2">
        <v>6260525.2300000004</v>
      </c>
      <c r="H768" s="2">
        <v>6954116.1799999997</v>
      </c>
      <c r="I768" s="2">
        <v>12813719.01</v>
      </c>
      <c r="J768" s="2">
        <v>567531</v>
      </c>
      <c r="K768" s="3">
        <v>0</v>
      </c>
      <c r="L768" s="3">
        <v>567531</v>
      </c>
      <c r="M768" s="3">
        <v>164106.6</v>
      </c>
      <c r="N768" s="4" t="s">
        <v>132</v>
      </c>
      <c r="O768" s="3" t="str">
        <f t="shared" si="29"/>
        <v>Other</v>
      </c>
      <c r="P768" s="11">
        <v>9363000</v>
      </c>
      <c r="Q768" s="3">
        <v>5854000000</v>
      </c>
      <c r="R768" s="3">
        <v>4006200000</v>
      </c>
      <c r="S768" s="11">
        <v>14300000</v>
      </c>
    </row>
    <row r="769" spans="1:19" x14ac:dyDescent="0.35">
      <c r="A769" s="1" t="s">
        <v>91</v>
      </c>
      <c r="B769" s="1" t="str">
        <f t="shared" si="30"/>
        <v>American Express</v>
      </c>
      <c r="C769">
        <v>264</v>
      </c>
      <c r="D769">
        <v>264</v>
      </c>
      <c r="E769">
        <v>675</v>
      </c>
      <c r="F769" s="2">
        <v>350938.4</v>
      </c>
      <c r="G769" s="2">
        <v>350938.4</v>
      </c>
      <c r="H769" s="2">
        <v>0</v>
      </c>
      <c r="I769" s="2">
        <v>247185.1</v>
      </c>
      <c r="J769" s="2">
        <v>103753.3</v>
      </c>
      <c r="K769" s="3">
        <v>51876.67</v>
      </c>
      <c r="L769" s="3">
        <v>51876.67</v>
      </c>
      <c r="M769" s="3">
        <v>0</v>
      </c>
      <c r="N769" s="4" t="s">
        <v>136</v>
      </c>
      <c r="O769" s="3" t="str">
        <f t="shared" si="29"/>
        <v>Offline - Box Office</v>
      </c>
      <c r="P769" s="11">
        <v>6590000</v>
      </c>
      <c r="Q769" s="3">
        <v>3648500000</v>
      </c>
      <c r="R769" s="3">
        <v>2386700000</v>
      </c>
      <c r="S769" s="11">
        <v>9645000</v>
      </c>
    </row>
    <row r="770" spans="1:19" x14ac:dyDescent="0.35">
      <c r="A770" s="1" t="s">
        <v>93</v>
      </c>
      <c r="B770" s="1" t="str">
        <f t="shared" si="30"/>
        <v>American Express</v>
      </c>
      <c r="C770">
        <v>1307</v>
      </c>
      <c r="D770">
        <v>1307</v>
      </c>
      <c r="E770">
        <v>3230</v>
      </c>
      <c r="F770" s="2">
        <v>2031240.43</v>
      </c>
      <c r="G770" s="2">
        <v>1836944.89</v>
      </c>
      <c r="H770" s="2">
        <v>12016</v>
      </c>
      <c r="I770" s="2">
        <v>1493742.57</v>
      </c>
      <c r="J770" s="2">
        <v>537497.86</v>
      </c>
      <c r="K770" s="3">
        <v>268749.17</v>
      </c>
      <c r="L770" s="3">
        <v>268749.17</v>
      </c>
      <c r="M770" s="3">
        <v>179038.1</v>
      </c>
      <c r="N770" s="4" t="s">
        <v>136</v>
      </c>
      <c r="O770" s="3" t="str">
        <f t="shared" ref="O770:O833" si="31">IF(ISNUMBER(SEARCH("Box Office",A770)),"Offline - Box Office",
IF(ISNUMBER(SEARCH("Digital Platforms",A770)),"Online",
IF(ISNUMBER(SEARCH("Refuel",A770)),"Offline - F&amp;B",
IF(ISNUMBER(SEARCH("Food &amp; Beverages",A770)),"Offline - F&amp;B",
IF(ISNUMBER(SEARCH("F&amp;B",A770)),"Offline - F&amp;B",
IF(ISNUMBER(SEARCH("Kiosk",A770)),"Offline - Box Office",
IF(ISNUMBER(SEARCH("Cinema",A770)),"Offline - Box Office",
"Other")))))))</f>
        <v>Online</v>
      </c>
      <c r="P770" s="11">
        <v>6590000</v>
      </c>
      <c r="Q770" s="3">
        <v>3648500000</v>
      </c>
      <c r="R770" s="3">
        <v>2386700000</v>
      </c>
      <c r="S770" s="11">
        <v>9645000</v>
      </c>
    </row>
    <row r="771" spans="1:19" x14ac:dyDescent="0.35">
      <c r="A771" s="1" t="s">
        <v>43</v>
      </c>
      <c r="B771" s="1" t="str">
        <f t="shared" si="30"/>
        <v>Axis Bank</v>
      </c>
      <c r="C771">
        <v>24</v>
      </c>
      <c r="D771">
        <v>24</v>
      </c>
      <c r="E771">
        <v>74</v>
      </c>
      <c r="F771" s="2">
        <v>23335.8</v>
      </c>
      <c r="G771" s="2">
        <v>23335.8</v>
      </c>
      <c r="H771" s="2">
        <v>0</v>
      </c>
      <c r="I771" s="2">
        <v>18856.599999999999</v>
      </c>
      <c r="J771" s="2">
        <v>4479.2</v>
      </c>
      <c r="K771" s="3">
        <v>3941.68</v>
      </c>
      <c r="L771" s="3">
        <v>537.52</v>
      </c>
      <c r="M771" s="3">
        <v>0</v>
      </c>
      <c r="N771" s="4" t="s">
        <v>136</v>
      </c>
      <c r="O771" s="3" t="str">
        <f t="shared" si="31"/>
        <v>Offline - Box Office</v>
      </c>
      <c r="P771" s="11">
        <v>6590000</v>
      </c>
      <c r="Q771" s="3">
        <v>3648500000</v>
      </c>
      <c r="R771" s="3">
        <v>2386700000</v>
      </c>
      <c r="S771" s="11">
        <v>9645000</v>
      </c>
    </row>
    <row r="772" spans="1:19" x14ac:dyDescent="0.35">
      <c r="A772" s="1" t="s">
        <v>23</v>
      </c>
      <c r="B772" s="1" t="str">
        <f t="shared" si="30"/>
        <v>Axis Bank</v>
      </c>
      <c r="C772">
        <v>26</v>
      </c>
      <c r="D772">
        <v>26</v>
      </c>
      <c r="E772">
        <v>71</v>
      </c>
      <c r="F772" s="2">
        <v>20069.72</v>
      </c>
      <c r="G772" s="2">
        <v>17205.96</v>
      </c>
      <c r="H772" s="2">
        <v>189</v>
      </c>
      <c r="I772" s="2">
        <v>15168.92</v>
      </c>
      <c r="J772" s="2">
        <v>4900.8</v>
      </c>
      <c r="K772" s="3">
        <v>4165.68</v>
      </c>
      <c r="L772" s="3">
        <v>735.12</v>
      </c>
      <c r="M772" s="3">
        <v>2574.7600000000002</v>
      </c>
      <c r="N772" s="4" t="s">
        <v>136</v>
      </c>
      <c r="O772" s="3" t="str">
        <f t="shared" si="31"/>
        <v>Online</v>
      </c>
      <c r="P772" s="11">
        <v>6590000</v>
      </c>
      <c r="Q772" s="3">
        <v>3648500000</v>
      </c>
      <c r="R772" s="3">
        <v>2386700000</v>
      </c>
      <c r="S772" s="11">
        <v>9645000</v>
      </c>
    </row>
    <row r="773" spans="1:19" x14ac:dyDescent="0.35">
      <c r="A773" s="1" t="s">
        <v>44</v>
      </c>
      <c r="B773" s="1" t="str">
        <f t="shared" si="30"/>
        <v>Axis Bank</v>
      </c>
      <c r="C773">
        <v>256</v>
      </c>
      <c r="D773">
        <v>256</v>
      </c>
      <c r="E773">
        <v>636</v>
      </c>
      <c r="F773" s="2">
        <v>152316.44</v>
      </c>
      <c r="G773" s="2">
        <v>152316.44</v>
      </c>
      <c r="H773" s="2">
        <v>0</v>
      </c>
      <c r="I773" s="2">
        <v>104741.4</v>
      </c>
      <c r="J773" s="2">
        <v>47575.040000000001</v>
      </c>
      <c r="K773" s="3">
        <v>41865.910000000003</v>
      </c>
      <c r="L773" s="3">
        <v>5709.13</v>
      </c>
      <c r="M773" s="3">
        <v>0</v>
      </c>
      <c r="N773" s="4" t="s">
        <v>136</v>
      </c>
      <c r="O773" s="3" t="str">
        <f t="shared" si="31"/>
        <v>Offline - Box Office</v>
      </c>
      <c r="P773" s="11">
        <v>6590000</v>
      </c>
      <c r="Q773" s="3">
        <v>3648500000</v>
      </c>
      <c r="R773" s="3">
        <v>2386700000</v>
      </c>
      <c r="S773" s="11">
        <v>9645000</v>
      </c>
    </row>
    <row r="774" spans="1:19" x14ac:dyDescent="0.35">
      <c r="A774" s="1" t="s">
        <v>24</v>
      </c>
      <c r="B774" s="1" t="str">
        <f t="shared" si="30"/>
        <v>Axis Bank</v>
      </c>
      <c r="C774">
        <v>989</v>
      </c>
      <c r="D774">
        <v>989</v>
      </c>
      <c r="E774">
        <v>2265</v>
      </c>
      <c r="F774" s="2">
        <v>617048.76</v>
      </c>
      <c r="G774" s="2">
        <v>533337.46</v>
      </c>
      <c r="H774" s="2">
        <v>5300</v>
      </c>
      <c r="I774" s="2">
        <v>432301.06</v>
      </c>
      <c r="J774" s="2">
        <v>184747.7</v>
      </c>
      <c r="K774" s="3">
        <v>157035.54999999999</v>
      </c>
      <c r="L774" s="3">
        <v>27712.15</v>
      </c>
      <c r="M774" s="3">
        <v>76742.12</v>
      </c>
      <c r="N774" s="4" t="s">
        <v>136</v>
      </c>
      <c r="O774" s="3" t="str">
        <f t="shared" si="31"/>
        <v>Online</v>
      </c>
      <c r="P774" s="11">
        <v>6590000</v>
      </c>
      <c r="Q774" s="3">
        <v>3648500000</v>
      </c>
      <c r="R774" s="3">
        <v>2386700000</v>
      </c>
      <c r="S774" s="11">
        <v>9645000</v>
      </c>
    </row>
    <row r="775" spans="1:19" x14ac:dyDescent="0.35">
      <c r="A775" s="1" t="s">
        <v>54</v>
      </c>
      <c r="B775" s="1" t="str">
        <f t="shared" si="30"/>
        <v>BOB Card</v>
      </c>
      <c r="C775">
        <v>35</v>
      </c>
      <c r="D775">
        <v>0</v>
      </c>
      <c r="E775">
        <v>63</v>
      </c>
      <c r="F775" s="2">
        <v>27550.12</v>
      </c>
      <c r="G775" s="2">
        <v>25563</v>
      </c>
      <c r="H775" s="2">
        <v>1825</v>
      </c>
      <c r="I775" s="2">
        <v>24905.119999999999</v>
      </c>
      <c r="J775" s="2">
        <v>2645</v>
      </c>
      <c r="K775" s="3">
        <v>1851.5</v>
      </c>
      <c r="L775" s="3">
        <v>793.5</v>
      </c>
      <c r="M775" s="3">
        <v>158.12</v>
      </c>
      <c r="N775" s="4" t="s">
        <v>136</v>
      </c>
      <c r="O775" s="3" t="str">
        <f t="shared" si="31"/>
        <v>Online</v>
      </c>
      <c r="P775" s="11">
        <v>6590000</v>
      </c>
      <c r="Q775" s="3">
        <v>3648500000</v>
      </c>
      <c r="R775" s="3">
        <v>2386700000</v>
      </c>
      <c r="S775" s="11">
        <v>9645000</v>
      </c>
    </row>
    <row r="776" spans="1:19" x14ac:dyDescent="0.35">
      <c r="A776" s="1" t="s">
        <v>55</v>
      </c>
      <c r="B776" s="1" t="str">
        <f t="shared" si="30"/>
        <v>BOB Card</v>
      </c>
      <c r="C776">
        <v>434</v>
      </c>
      <c r="D776">
        <v>0</v>
      </c>
      <c r="E776">
        <v>1329</v>
      </c>
      <c r="F776" s="2">
        <v>385941.43</v>
      </c>
      <c r="G776" s="2">
        <v>0</v>
      </c>
      <c r="H776" s="2">
        <v>385941.43</v>
      </c>
      <c r="I776" s="2">
        <v>347697.43</v>
      </c>
      <c r="J776" s="2">
        <v>38244</v>
      </c>
      <c r="K776" s="3">
        <v>26770.799999999999</v>
      </c>
      <c r="L776" s="3">
        <v>11473.2</v>
      </c>
      <c r="M776" s="3">
        <v>0</v>
      </c>
      <c r="N776" s="4" t="s">
        <v>136</v>
      </c>
      <c r="O776" s="3" t="str">
        <f t="shared" si="31"/>
        <v>Offline - F&amp;B</v>
      </c>
      <c r="P776" s="11">
        <v>6590000</v>
      </c>
      <c r="Q776" s="3">
        <v>3648500000</v>
      </c>
      <c r="R776" s="3">
        <v>2386700000</v>
      </c>
      <c r="S776" s="11">
        <v>9645000</v>
      </c>
    </row>
    <row r="777" spans="1:19" x14ac:dyDescent="0.35">
      <c r="A777" s="1" t="s">
        <v>119</v>
      </c>
      <c r="B777" s="1" t="str">
        <f t="shared" si="30"/>
        <v>AU Bank</v>
      </c>
      <c r="C777">
        <v>23</v>
      </c>
      <c r="D777">
        <v>23</v>
      </c>
      <c r="E777">
        <v>63</v>
      </c>
      <c r="F777" s="2">
        <v>17653.599999999999</v>
      </c>
      <c r="G777" s="2">
        <v>17653.599999999999</v>
      </c>
      <c r="H777" s="2">
        <v>0</v>
      </c>
      <c r="I777" s="2">
        <v>12651.8</v>
      </c>
      <c r="J777" s="2">
        <v>5001.8</v>
      </c>
      <c r="K777" s="3">
        <v>3501.26</v>
      </c>
      <c r="L777" s="3">
        <v>1500.54</v>
      </c>
      <c r="M777" s="3">
        <v>0</v>
      </c>
      <c r="N777" s="4" t="s">
        <v>136</v>
      </c>
      <c r="O777" s="3" t="str">
        <f t="shared" si="31"/>
        <v>Offline - Box Office</v>
      </c>
      <c r="P777" s="11">
        <v>6590000</v>
      </c>
      <c r="Q777" s="3">
        <v>3648500000</v>
      </c>
      <c r="R777" s="3">
        <v>2386700000</v>
      </c>
      <c r="S777" s="11">
        <v>9645000</v>
      </c>
    </row>
    <row r="778" spans="1:19" x14ac:dyDescent="0.35">
      <c r="A778" s="1" t="s">
        <v>120</v>
      </c>
      <c r="B778" s="1" t="str">
        <f t="shared" si="30"/>
        <v>AU Bank</v>
      </c>
      <c r="C778">
        <v>37</v>
      </c>
      <c r="D778">
        <v>37</v>
      </c>
      <c r="E778">
        <v>82</v>
      </c>
      <c r="F778" s="2">
        <v>25519.26</v>
      </c>
      <c r="G778" s="2">
        <v>22404</v>
      </c>
      <c r="H778" s="2">
        <v>0</v>
      </c>
      <c r="I778" s="2">
        <v>17535.259999999998</v>
      </c>
      <c r="J778" s="2">
        <v>7984</v>
      </c>
      <c r="K778" s="3">
        <v>5588.8</v>
      </c>
      <c r="L778" s="3">
        <v>2395.1999999999998</v>
      </c>
      <c r="M778" s="3">
        <v>3021.26</v>
      </c>
      <c r="N778" s="4" t="s">
        <v>136</v>
      </c>
      <c r="O778" s="3" t="str">
        <f t="shared" si="31"/>
        <v>Online</v>
      </c>
      <c r="P778" s="11">
        <v>6590000</v>
      </c>
      <c r="Q778" s="3">
        <v>3648500000</v>
      </c>
      <c r="R778" s="3">
        <v>2386700000</v>
      </c>
      <c r="S778" s="11">
        <v>9645000</v>
      </c>
    </row>
    <row r="779" spans="1:19" x14ac:dyDescent="0.35">
      <c r="A779" s="1" t="s">
        <v>27</v>
      </c>
      <c r="B779" s="1" t="str">
        <f t="shared" si="30"/>
        <v>Federal Bank</v>
      </c>
      <c r="C779">
        <v>67</v>
      </c>
      <c r="D779">
        <v>67</v>
      </c>
      <c r="E779">
        <v>203</v>
      </c>
      <c r="F779" s="2">
        <v>51036.45</v>
      </c>
      <c r="G779" s="2">
        <v>51036.45</v>
      </c>
      <c r="H779" s="2">
        <v>0</v>
      </c>
      <c r="I779" s="2">
        <v>44352.45</v>
      </c>
      <c r="J779" s="2">
        <v>6684</v>
      </c>
      <c r="K779" s="3">
        <v>6684</v>
      </c>
      <c r="L779" s="3">
        <v>0</v>
      </c>
      <c r="M779" s="3">
        <v>0</v>
      </c>
      <c r="N779" s="4" t="s">
        <v>136</v>
      </c>
      <c r="O779" s="3" t="str">
        <f t="shared" si="31"/>
        <v>Offline - Box Office</v>
      </c>
      <c r="P779" s="11">
        <v>6590000</v>
      </c>
      <c r="Q779" s="3">
        <v>3648500000</v>
      </c>
      <c r="R779" s="3">
        <v>2386700000</v>
      </c>
      <c r="S779" s="11">
        <v>9645000</v>
      </c>
    </row>
    <row r="780" spans="1:19" x14ac:dyDescent="0.35">
      <c r="A780" s="1" t="s">
        <v>28</v>
      </c>
      <c r="B780" s="1" t="str">
        <f t="shared" si="30"/>
        <v>Federal Bank</v>
      </c>
      <c r="C780">
        <v>136</v>
      </c>
      <c r="D780">
        <v>136</v>
      </c>
      <c r="E780">
        <v>334</v>
      </c>
      <c r="F780" s="2">
        <v>98399.18</v>
      </c>
      <c r="G780" s="2">
        <v>84903.76</v>
      </c>
      <c r="H780" s="2">
        <v>803</v>
      </c>
      <c r="I780" s="2">
        <v>84937.01</v>
      </c>
      <c r="J780" s="2">
        <v>13462.17</v>
      </c>
      <c r="K780" s="3">
        <v>13462.17</v>
      </c>
      <c r="L780" s="3">
        <v>0</v>
      </c>
      <c r="M780" s="3">
        <v>12406.42</v>
      </c>
      <c r="N780" s="4" t="s">
        <v>136</v>
      </c>
      <c r="O780" s="3" t="str">
        <f t="shared" si="31"/>
        <v>Online</v>
      </c>
      <c r="P780" s="11">
        <v>6590000</v>
      </c>
      <c r="Q780" s="3">
        <v>3648500000</v>
      </c>
      <c r="R780" s="3">
        <v>2386700000</v>
      </c>
      <c r="S780" s="11">
        <v>9645000</v>
      </c>
    </row>
    <row r="781" spans="1:19" x14ac:dyDescent="0.35">
      <c r="A781" s="1" t="s">
        <v>29</v>
      </c>
      <c r="B781" s="1" t="str">
        <f t="shared" si="30"/>
        <v>Federal Bank</v>
      </c>
      <c r="C781">
        <v>273</v>
      </c>
      <c r="D781">
        <v>273</v>
      </c>
      <c r="E781">
        <v>754</v>
      </c>
      <c r="F781" s="2">
        <v>175752.98</v>
      </c>
      <c r="G781" s="2">
        <v>175752.98</v>
      </c>
      <c r="H781" s="2">
        <v>0</v>
      </c>
      <c r="I781" s="2">
        <v>148484.17000000001</v>
      </c>
      <c r="J781" s="2">
        <v>27268.81</v>
      </c>
      <c r="K781" s="3">
        <v>27268.81</v>
      </c>
      <c r="L781" s="3">
        <v>0</v>
      </c>
      <c r="M781" s="3">
        <v>0</v>
      </c>
      <c r="N781" s="4" t="s">
        <v>136</v>
      </c>
      <c r="O781" s="3" t="str">
        <f t="shared" si="31"/>
        <v>Offline - Box Office</v>
      </c>
      <c r="P781" s="11">
        <v>6590000</v>
      </c>
      <c r="Q781" s="3">
        <v>3648500000</v>
      </c>
      <c r="R781" s="3">
        <v>2386700000</v>
      </c>
      <c r="S781" s="11">
        <v>9645000</v>
      </c>
    </row>
    <row r="782" spans="1:19" x14ac:dyDescent="0.35">
      <c r="A782" s="1" t="s">
        <v>30</v>
      </c>
      <c r="B782" s="1" t="str">
        <f t="shared" si="30"/>
        <v>Federal Bank</v>
      </c>
      <c r="C782">
        <v>336</v>
      </c>
      <c r="D782">
        <v>336</v>
      </c>
      <c r="E782">
        <v>809</v>
      </c>
      <c r="F782" s="2">
        <v>196931.09</v>
      </c>
      <c r="G782" s="2">
        <v>169111.97</v>
      </c>
      <c r="H782" s="2">
        <v>690</v>
      </c>
      <c r="I782" s="2">
        <v>163818.34</v>
      </c>
      <c r="J782" s="2">
        <v>33112.75</v>
      </c>
      <c r="K782" s="3">
        <v>33112.75</v>
      </c>
      <c r="L782" s="3">
        <v>0</v>
      </c>
      <c r="M782" s="3">
        <v>26527.119999999999</v>
      </c>
      <c r="N782" s="4" t="s">
        <v>136</v>
      </c>
      <c r="O782" s="3" t="str">
        <f t="shared" si="31"/>
        <v>Online</v>
      </c>
      <c r="P782" s="11">
        <v>6590000</v>
      </c>
      <c r="Q782" s="3">
        <v>3648500000</v>
      </c>
      <c r="R782" s="3">
        <v>2386700000</v>
      </c>
      <c r="S782" s="11">
        <v>9645000</v>
      </c>
    </row>
    <row r="783" spans="1:19" x14ac:dyDescent="0.35">
      <c r="A783" s="1" t="s">
        <v>121</v>
      </c>
      <c r="B783" s="1" t="str">
        <f t="shared" si="30"/>
        <v>AU Bank</v>
      </c>
      <c r="C783">
        <v>119</v>
      </c>
      <c r="D783">
        <v>0</v>
      </c>
      <c r="E783">
        <v>381</v>
      </c>
      <c r="F783" s="2">
        <v>114527.96</v>
      </c>
      <c r="G783" s="2">
        <v>114527.96</v>
      </c>
      <c r="H783" s="2">
        <v>0</v>
      </c>
      <c r="I783" s="2">
        <v>98311.96</v>
      </c>
      <c r="J783" s="2">
        <v>16216</v>
      </c>
      <c r="K783" s="3">
        <v>11351.2</v>
      </c>
      <c r="L783" s="3">
        <v>4864.8</v>
      </c>
      <c r="M783" s="3">
        <v>0</v>
      </c>
      <c r="N783" s="4" t="s">
        <v>136</v>
      </c>
      <c r="O783" s="3" t="str">
        <f t="shared" si="31"/>
        <v>Offline - Box Office</v>
      </c>
      <c r="P783" s="11">
        <v>6590000</v>
      </c>
      <c r="Q783" s="3">
        <v>3648500000</v>
      </c>
      <c r="R783" s="3">
        <v>2386700000</v>
      </c>
      <c r="S783" s="11">
        <v>9645000</v>
      </c>
    </row>
    <row r="784" spans="1:19" x14ac:dyDescent="0.35">
      <c r="A784" s="1" t="s">
        <v>122</v>
      </c>
      <c r="B784" s="1" t="str">
        <f t="shared" si="30"/>
        <v>AU Bank</v>
      </c>
      <c r="C784">
        <v>36</v>
      </c>
      <c r="D784">
        <v>0</v>
      </c>
      <c r="E784">
        <v>101</v>
      </c>
      <c r="F784" s="2">
        <v>32655.58</v>
      </c>
      <c r="G784" s="2">
        <v>28444.94</v>
      </c>
      <c r="H784" s="2">
        <v>0</v>
      </c>
      <c r="I784" s="2">
        <v>27912.58</v>
      </c>
      <c r="J784" s="2">
        <v>4743</v>
      </c>
      <c r="K784" s="3">
        <v>3320.1</v>
      </c>
      <c r="L784" s="3">
        <v>1422.9</v>
      </c>
      <c r="M784" s="3">
        <v>4110.6400000000003</v>
      </c>
      <c r="N784" s="4" t="s">
        <v>136</v>
      </c>
      <c r="O784" s="3" t="str">
        <f t="shared" si="31"/>
        <v>Online</v>
      </c>
      <c r="P784" s="11">
        <v>6590000</v>
      </c>
      <c r="Q784" s="3">
        <v>3648500000</v>
      </c>
      <c r="R784" s="3">
        <v>2386700000</v>
      </c>
      <c r="S784" s="11">
        <v>9645000</v>
      </c>
    </row>
    <row r="785" spans="1:19" x14ac:dyDescent="0.35">
      <c r="A785" s="1" t="s">
        <v>123</v>
      </c>
      <c r="B785" s="1" t="str">
        <f t="shared" si="30"/>
        <v>AU Bank</v>
      </c>
      <c r="C785">
        <v>154</v>
      </c>
      <c r="D785">
        <v>0</v>
      </c>
      <c r="E785">
        <v>533</v>
      </c>
      <c r="F785" s="2">
        <v>149535</v>
      </c>
      <c r="G785" s="2">
        <v>149535</v>
      </c>
      <c r="H785" s="2">
        <v>0</v>
      </c>
      <c r="I785" s="2">
        <v>134135</v>
      </c>
      <c r="J785" s="2">
        <v>15400</v>
      </c>
      <c r="K785" s="3">
        <v>10780</v>
      </c>
      <c r="L785" s="3">
        <v>4620</v>
      </c>
      <c r="M785" s="3">
        <v>0</v>
      </c>
      <c r="N785" s="4" t="s">
        <v>136</v>
      </c>
      <c r="O785" s="3" t="str">
        <f t="shared" si="31"/>
        <v>Offline - Box Office</v>
      </c>
      <c r="P785" s="11">
        <v>6590000</v>
      </c>
      <c r="Q785" s="3">
        <v>3648500000</v>
      </c>
      <c r="R785" s="3">
        <v>2386700000</v>
      </c>
      <c r="S785" s="11">
        <v>9645000</v>
      </c>
    </row>
    <row r="786" spans="1:19" x14ac:dyDescent="0.35">
      <c r="A786" s="1" t="s">
        <v>124</v>
      </c>
      <c r="B786" s="1" t="str">
        <f t="shared" si="30"/>
        <v>AU Bank</v>
      </c>
      <c r="C786">
        <v>35</v>
      </c>
      <c r="D786">
        <v>0</v>
      </c>
      <c r="E786">
        <v>110</v>
      </c>
      <c r="F786" s="2">
        <v>33823.56</v>
      </c>
      <c r="G786" s="2">
        <v>29402</v>
      </c>
      <c r="H786" s="2">
        <v>0</v>
      </c>
      <c r="I786" s="2">
        <v>30323.56</v>
      </c>
      <c r="J786" s="2">
        <v>3500</v>
      </c>
      <c r="K786" s="3">
        <v>2450</v>
      </c>
      <c r="L786" s="3">
        <v>1050</v>
      </c>
      <c r="M786" s="3">
        <v>4299.5600000000004</v>
      </c>
      <c r="N786" s="4" t="s">
        <v>136</v>
      </c>
      <c r="O786" s="3" t="str">
        <f t="shared" si="31"/>
        <v>Online</v>
      </c>
      <c r="P786" s="11">
        <v>6590000</v>
      </c>
      <c r="Q786" s="3">
        <v>3648500000</v>
      </c>
      <c r="R786" s="3">
        <v>2386700000</v>
      </c>
      <c r="S786" s="11">
        <v>9645000</v>
      </c>
    </row>
    <row r="787" spans="1:19" x14ac:dyDescent="0.35">
      <c r="A787" s="1" t="s">
        <v>133</v>
      </c>
      <c r="B787" s="1" t="str">
        <f t="shared" si="30"/>
        <v>HDFC Bank</v>
      </c>
      <c r="C787">
        <v>133</v>
      </c>
      <c r="D787">
        <v>0</v>
      </c>
      <c r="E787">
        <v>152</v>
      </c>
      <c r="F787" s="2">
        <v>103819</v>
      </c>
      <c r="G787" s="2">
        <v>0</v>
      </c>
      <c r="H787" s="2">
        <v>103819</v>
      </c>
      <c r="I787" s="2">
        <v>90519</v>
      </c>
      <c r="J787" s="2">
        <v>13300</v>
      </c>
      <c r="K787" s="3">
        <v>13300</v>
      </c>
      <c r="L787" s="3">
        <v>0</v>
      </c>
      <c r="M787" s="3">
        <v>0</v>
      </c>
      <c r="N787" s="4" t="s">
        <v>136</v>
      </c>
      <c r="O787" s="3" t="str">
        <f t="shared" si="31"/>
        <v>Offline - F&amp;B</v>
      </c>
      <c r="P787" s="11">
        <v>6590000</v>
      </c>
      <c r="Q787" s="3">
        <v>3648500000</v>
      </c>
      <c r="R787" s="3">
        <v>2386700000</v>
      </c>
      <c r="S787" s="11">
        <v>9645000</v>
      </c>
    </row>
    <row r="788" spans="1:19" x14ac:dyDescent="0.35">
      <c r="A788" s="1" t="s">
        <v>32</v>
      </c>
      <c r="B788" s="1" t="str">
        <f t="shared" si="30"/>
        <v>ICICI Bank</v>
      </c>
      <c r="C788">
        <v>2783</v>
      </c>
      <c r="D788">
        <v>0</v>
      </c>
      <c r="E788">
        <v>7683</v>
      </c>
      <c r="F788" s="2">
        <v>1842437.7</v>
      </c>
      <c r="G788" s="2">
        <v>1842674.15</v>
      </c>
      <c r="H788" s="2">
        <v>0</v>
      </c>
      <c r="I788" s="2">
        <v>1562689.7</v>
      </c>
      <c r="J788" s="2">
        <v>279748</v>
      </c>
      <c r="K788" s="3">
        <v>246178.24</v>
      </c>
      <c r="L788" s="3">
        <v>33569.760000000002</v>
      </c>
      <c r="M788" s="3">
        <v>0</v>
      </c>
      <c r="N788" s="4" t="s">
        <v>136</v>
      </c>
      <c r="O788" s="3" t="str">
        <f t="shared" si="31"/>
        <v>Offline - Box Office</v>
      </c>
      <c r="P788" s="11">
        <v>6590000</v>
      </c>
      <c r="Q788" s="3">
        <v>3648500000</v>
      </c>
      <c r="R788" s="3">
        <v>2386700000</v>
      </c>
      <c r="S788" s="11">
        <v>9645000</v>
      </c>
    </row>
    <row r="789" spans="1:19" x14ac:dyDescent="0.35">
      <c r="A789" s="1" t="s">
        <v>33</v>
      </c>
      <c r="B789" s="1" t="str">
        <f t="shared" si="30"/>
        <v>ICICI Bank</v>
      </c>
      <c r="C789">
        <v>876</v>
      </c>
      <c r="D789">
        <v>0</v>
      </c>
      <c r="E789">
        <v>2341</v>
      </c>
      <c r="F789" s="2">
        <v>667460.06999999995</v>
      </c>
      <c r="G789" s="2">
        <v>574035.35</v>
      </c>
      <c r="H789" s="2">
        <v>10159</v>
      </c>
      <c r="I789" s="2">
        <v>578069.06999999995</v>
      </c>
      <c r="J789" s="2">
        <v>89391</v>
      </c>
      <c r="K789" s="3">
        <v>75982.350000000006</v>
      </c>
      <c r="L789" s="3">
        <v>13408.65</v>
      </c>
      <c r="M789" s="3">
        <v>81434.12</v>
      </c>
      <c r="N789" s="4" t="s">
        <v>136</v>
      </c>
      <c r="O789" s="3" t="str">
        <f t="shared" si="31"/>
        <v>Online</v>
      </c>
      <c r="P789" s="11">
        <v>6590000</v>
      </c>
      <c r="Q789" s="3">
        <v>3648500000</v>
      </c>
      <c r="R789" s="3">
        <v>2386700000</v>
      </c>
      <c r="S789" s="11">
        <v>9645000</v>
      </c>
    </row>
    <row r="790" spans="1:19" x14ac:dyDescent="0.35">
      <c r="A790" s="1" t="s">
        <v>34</v>
      </c>
      <c r="B790" s="1" t="str">
        <f t="shared" si="30"/>
        <v>ICICI Bank</v>
      </c>
      <c r="C790">
        <v>347</v>
      </c>
      <c r="D790">
        <v>0</v>
      </c>
      <c r="E790">
        <v>928</v>
      </c>
      <c r="F790" s="2">
        <v>249433.47</v>
      </c>
      <c r="G790" s="2">
        <v>249433.47</v>
      </c>
      <c r="H790" s="2">
        <v>0</v>
      </c>
      <c r="I790" s="2">
        <v>231022.47</v>
      </c>
      <c r="J790" s="2">
        <v>18411</v>
      </c>
      <c r="K790" s="3">
        <v>16201.68</v>
      </c>
      <c r="L790" s="3">
        <v>2209.3200000000002</v>
      </c>
      <c r="M790" s="3">
        <v>0</v>
      </c>
      <c r="N790" s="4" t="s">
        <v>136</v>
      </c>
      <c r="O790" s="3" t="str">
        <f t="shared" si="31"/>
        <v>Offline - Box Office</v>
      </c>
      <c r="P790" s="11">
        <v>6590000</v>
      </c>
      <c r="Q790" s="3">
        <v>3648500000</v>
      </c>
      <c r="R790" s="3">
        <v>2386700000</v>
      </c>
      <c r="S790" s="11">
        <v>9645000</v>
      </c>
    </row>
    <row r="791" spans="1:19" x14ac:dyDescent="0.35">
      <c r="A791" s="1" t="s">
        <v>35</v>
      </c>
      <c r="B791" s="1" t="str">
        <f t="shared" ref="B791:B854" si="32">IF(ISNUMBER(SEARCH("AXIS",A791)),"Axis Bank",
IF(ISNUMBER(SEARCH("HDFC",A791)),"HDFC Bank",
IF(ISNUMBER(SEARCH("ICICI",A791)),"ICICI Bank",
IF(ISNUMBER(SEARCH("AU",A791)),"AU Bank",
IF(ISNUMBER(SEARCH("KOTAK",A791)),"Kotak Mahindra Bank",
IF(ISNUMBER(SEARCH("SBI",A791)),"State Bank of India",
IF(ISNUMBER(SEARCH("HSBC",A791)),"HSBC",
IF(ISNUMBER(SEARCH("DBS",A791)),"DBS Bank",
IF(ISNUMBER(SEARCH("SCAPIA",A791)),"Scapia",
IF(ISNUMBER(SEARCH("STANDARD CHARTERED",A791)),"Standard Chartered Bank",
IF(ISNUMBER(SEARCH("IDBI",A791)),"IDBI Bank",
IF(ISNUMBER(SEARCH("J&amp;K",A791)),"J&amp;K Bank",
IF(ISNUMBER(SEARCH("JAMMU",A791)),"J&amp;K Bank",
IF(ISNUMBER(SEARCH("FEDERAL",A791)),"Federal Bank",
IF(ISNUMBER(SEARCH("BOBCARD",A791)),"BOB Card",
IF(ISNUMBER(SEARCH("BANK OF BARODA",A791)),"BOB Card",
IF(ISNUMBER(SEARCH("AMEX",A791)),"American Express",
IF(ISNUMBER(SEARCH("PLATINUM",A791)),"American Express",
IF(ISNUMBER(SEARCH("CENTURION",A791)),"American Express",
IF(ISNUMBER(SEARCH("VISA",A791)),"Visa",
IF(ISNUMBER(SEARCH("MASTERCARD",A791)),"Mastercard",
"")))))))))))))))))))))</f>
        <v>ICICI Bank</v>
      </c>
      <c r="C791">
        <v>92</v>
      </c>
      <c r="D791">
        <v>0</v>
      </c>
      <c r="E791">
        <v>240</v>
      </c>
      <c r="F791" s="2">
        <v>86858.38</v>
      </c>
      <c r="G791" s="2">
        <v>73857.960000000006</v>
      </c>
      <c r="H791" s="2">
        <v>3622</v>
      </c>
      <c r="I791" s="2">
        <v>81554.38</v>
      </c>
      <c r="J791" s="2">
        <v>5304</v>
      </c>
      <c r="K791" s="3">
        <v>4508.3999999999996</v>
      </c>
      <c r="L791" s="3">
        <v>795.6</v>
      </c>
      <c r="M791" s="3">
        <v>9150.42</v>
      </c>
      <c r="N791" s="4" t="s">
        <v>136</v>
      </c>
      <c r="O791" s="3" t="str">
        <f t="shared" si="31"/>
        <v>Online</v>
      </c>
      <c r="P791" s="11">
        <v>6590000</v>
      </c>
      <c r="Q791" s="3">
        <v>3648500000</v>
      </c>
      <c r="R791" s="3">
        <v>2386700000</v>
      </c>
      <c r="S791" s="11">
        <v>9645000</v>
      </c>
    </row>
    <row r="792" spans="1:19" x14ac:dyDescent="0.35">
      <c r="A792" s="1" t="s">
        <v>48</v>
      </c>
      <c r="B792" s="1" t="str">
        <f t="shared" si="32"/>
        <v>IDBI Bank</v>
      </c>
      <c r="C792">
        <v>300</v>
      </c>
      <c r="D792">
        <v>0</v>
      </c>
      <c r="E792">
        <v>694</v>
      </c>
      <c r="F792" s="2">
        <v>176274.93</v>
      </c>
      <c r="G792" s="2">
        <v>176366.43</v>
      </c>
      <c r="H792" s="2">
        <v>0</v>
      </c>
      <c r="I792" s="2">
        <v>142933.93</v>
      </c>
      <c r="J792" s="2">
        <v>33341</v>
      </c>
      <c r="K792" s="3">
        <v>33341</v>
      </c>
      <c r="L792" s="3">
        <v>0</v>
      </c>
      <c r="M792" s="3">
        <v>0</v>
      </c>
      <c r="N792" s="4" t="s">
        <v>136</v>
      </c>
      <c r="O792" s="3" t="str">
        <f t="shared" si="31"/>
        <v>Offline - Box Office</v>
      </c>
      <c r="P792" s="11">
        <v>6590000</v>
      </c>
      <c r="Q792" s="3">
        <v>3648500000</v>
      </c>
      <c r="R792" s="3">
        <v>2386700000</v>
      </c>
      <c r="S792" s="11">
        <v>9645000</v>
      </c>
    </row>
    <row r="793" spans="1:19" x14ac:dyDescent="0.35">
      <c r="A793" s="1" t="s">
        <v>37</v>
      </c>
      <c r="B793" s="1" t="str">
        <f t="shared" si="32"/>
        <v>IDBI Bank</v>
      </c>
      <c r="C793">
        <v>231</v>
      </c>
      <c r="D793">
        <v>0</v>
      </c>
      <c r="E793">
        <v>520</v>
      </c>
      <c r="F793" s="2">
        <v>157772.60999999999</v>
      </c>
      <c r="G793" s="2">
        <v>135739.39000000001</v>
      </c>
      <c r="H793" s="2">
        <v>4230</v>
      </c>
      <c r="I793" s="2">
        <v>131313.60999999999</v>
      </c>
      <c r="J793" s="2">
        <v>26459</v>
      </c>
      <c r="K793" s="3">
        <v>26459</v>
      </c>
      <c r="L793" s="3">
        <v>0</v>
      </c>
      <c r="M793" s="3">
        <v>17415.22</v>
      </c>
      <c r="N793" s="4" t="s">
        <v>136</v>
      </c>
      <c r="O793" s="3" t="str">
        <f t="shared" si="31"/>
        <v>Online</v>
      </c>
      <c r="P793" s="11">
        <v>6590000</v>
      </c>
      <c r="Q793" s="3">
        <v>3648500000</v>
      </c>
      <c r="R793" s="3">
        <v>2386700000</v>
      </c>
      <c r="S793" s="11">
        <v>9645000</v>
      </c>
    </row>
    <row r="794" spans="1:19" x14ac:dyDescent="0.35">
      <c r="A794" s="1" t="s">
        <v>49</v>
      </c>
      <c r="B794" s="1" t="str">
        <f t="shared" si="32"/>
        <v>IDBI Bank</v>
      </c>
      <c r="C794">
        <v>399</v>
      </c>
      <c r="D794">
        <v>0</v>
      </c>
      <c r="E794">
        <v>1101</v>
      </c>
      <c r="F794" s="2">
        <v>275893</v>
      </c>
      <c r="G794" s="2">
        <v>0</v>
      </c>
      <c r="H794" s="2">
        <v>275893</v>
      </c>
      <c r="I794" s="2">
        <v>229710</v>
      </c>
      <c r="J794" s="2">
        <v>46183</v>
      </c>
      <c r="K794" s="3">
        <v>32328.1</v>
      </c>
      <c r="L794" s="3">
        <v>13854.9</v>
      </c>
      <c r="M794" s="3">
        <v>0</v>
      </c>
      <c r="N794" s="4" t="s">
        <v>136</v>
      </c>
      <c r="O794" s="3" t="str">
        <f t="shared" si="31"/>
        <v>Offline - F&amp;B</v>
      </c>
      <c r="P794" s="11">
        <v>6590000</v>
      </c>
      <c r="Q794" s="3">
        <v>3648500000</v>
      </c>
      <c r="R794" s="3">
        <v>2386700000</v>
      </c>
      <c r="S794" s="11">
        <v>9645000</v>
      </c>
    </row>
    <row r="795" spans="1:19" x14ac:dyDescent="0.35">
      <c r="A795" s="1" t="s">
        <v>52</v>
      </c>
      <c r="B795" s="1" t="str">
        <f t="shared" si="32"/>
        <v>Kotak Mahindra Bank</v>
      </c>
      <c r="C795">
        <v>17</v>
      </c>
      <c r="D795">
        <v>17</v>
      </c>
      <c r="E795">
        <v>37</v>
      </c>
      <c r="F795" s="2">
        <v>29616.240000000002</v>
      </c>
      <c r="G795" s="2">
        <v>27191</v>
      </c>
      <c r="H795" s="2">
        <v>0</v>
      </c>
      <c r="I795" s="2">
        <v>18710.240000000002</v>
      </c>
      <c r="J795" s="2">
        <v>10906</v>
      </c>
      <c r="K795" s="3">
        <v>10906</v>
      </c>
      <c r="L795" s="3">
        <v>0</v>
      </c>
      <c r="M795" s="3">
        <v>2387.2399999999998</v>
      </c>
      <c r="N795" s="4" t="s">
        <v>136</v>
      </c>
      <c r="O795" s="3" t="str">
        <f t="shared" si="31"/>
        <v>Online</v>
      </c>
      <c r="P795" s="11">
        <v>6590000</v>
      </c>
      <c r="Q795" s="3">
        <v>3648500000</v>
      </c>
      <c r="R795" s="3">
        <v>2386700000</v>
      </c>
      <c r="S795" s="11">
        <v>9645000</v>
      </c>
    </row>
    <row r="796" spans="1:19" x14ac:dyDescent="0.35">
      <c r="A796" s="1" t="s">
        <v>134</v>
      </c>
      <c r="B796" s="1" t="str">
        <f t="shared" si="32"/>
        <v>Kotak Mahindra Bank</v>
      </c>
      <c r="C796">
        <v>36</v>
      </c>
      <c r="D796">
        <v>36</v>
      </c>
      <c r="E796">
        <v>85</v>
      </c>
      <c r="F796" s="2">
        <v>24358.6</v>
      </c>
      <c r="G796" s="2">
        <v>21488.5</v>
      </c>
      <c r="H796" s="2">
        <v>0</v>
      </c>
      <c r="I796" s="2">
        <v>16456.650000000001</v>
      </c>
      <c r="J796" s="2">
        <v>7901.95</v>
      </c>
      <c r="K796" s="3">
        <v>7901.95</v>
      </c>
      <c r="L796" s="3">
        <v>0</v>
      </c>
      <c r="M796" s="3">
        <v>2790.1</v>
      </c>
      <c r="N796" s="4" t="s">
        <v>136</v>
      </c>
      <c r="O796" s="3" t="str">
        <f t="shared" si="31"/>
        <v>Online</v>
      </c>
      <c r="P796" s="11">
        <v>6590000</v>
      </c>
      <c r="Q796" s="3">
        <v>3648500000</v>
      </c>
      <c r="R796" s="3">
        <v>2386700000</v>
      </c>
      <c r="S796" s="11">
        <v>9645000</v>
      </c>
    </row>
    <row r="797" spans="1:19" x14ac:dyDescent="0.35">
      <c r="A797" s="1" t="s">
        <v>130</v>
      </c>
      <c r="B797" s="1" t="str">
        <f t="shared" si="32"/>
        <v>Kotak Mahindra Bank</v>
      </c>
      <c r="C797">
        <v>62</v>
      </c>
      <c r="D797">
        <v>62</v>
      </c>
      <c r="E797">
        <v>135</v>
      </c>
      <c r="F797" s="2">
        <v>97593.3</v>
      </c>
      <c r="G797" s="2">
        <v>88844</v>
      </c>
      <c r="H797" s="2">
        <v>0</v>
      </c>
      <c r="I797" s="2">
        <v>60665.3</v>
      </c>
      <c r="J797" s="2">
        <v>36928</v>
      </c>
      <c r="K797" s="3">
        <v>36928</v>
      </c>
      <c r="L797" s="3">
        <v>0</v>
      </c>
      <c r="M797" s="3">
        <v>8661.2999999999993</v>
      </c>
      <c r="N797" s="4" t="s">
        <v>136</v>
      </c>
      <c r="O797" s="3" t="str">
        <f t="shared" si="31"/>
        <v>Online</v>
      </c>
      <c r="P797" s="11">
        <v>6590000</v>
      </c>
      <c r="Q797" s="3">
        <v>3648500000</v>
      </c>
      <c r="R797" s="3">
        <v>2386700000</v>
      </c>
      <c r="S797" s="11">
        <v>9645000</v>
      </c>
    </row>
    <row r="798" spans="1:19" x14ac:dyDescent="0.35">
      <c r="A798" s="1" t="s">
        <v>38</v>
      </c>
      <c r="B798" s="1" t="str">
        <f t="shared" si="32"/>
        <v>Kotak Mahindra Bank</v>
      </c>
      <c r="C798">
        <v>15287</v>
      </c>
      <c r="D798">
        <v>0</v>
      </c>
      <c r="E798">
        <v>36504</v>
      </c>
      <c r="F798" s="2">
        <v>9352355.6600000001</v>
      </c>
      <c r="G798" s="2">
        <v>423621.63</v>
      </c>
      <c r="H798" s="2">
        <v>8922881.6300000008</v>
      </c>
      <c r="I798" s="2">
        <v>7491058.6600000001</v>
      </c>
      <c r="J798" s="2">
        <v>1861297</v>
      </c>
      <c r="K798" s="3">
        <v>0</v>
      </c>
      <c r="L798" s="3">
        <v>1861297</v>
      </c>
      <c r="M798" s="3">
        <v>5686.4</v>
      </c>
      <c r="N798" s="4" t="s">
        <v>136</v>
      </c>
      <c r="O798" s="3" t="str">
        <f t="shared" si="31"/>
        <v>Other</v>
      </c>
      <c r="P798" s="11">
        <v>6590000</v>
      </c>
      <c r="Q798" s="3">
        <v>3648500000</v>
      </c>
      <c r="R798" s="3">
        <v>2386700000</v>
      </c>
      <c r="S798" s="11">
        <v>9645000</v>
      </c>
    </row>
    <row r="799" spans="1:19" x14ac:dyDescent="0.35">
      <c r="A799" s="1" t="s">
        <v>58</v>
      </c>
      <c r="B799" s="1" t="str">
        <f t="shared" si="32"/>
        <v>Kotak Mahindra Bank</v>
      </c>
      <c r="C799">
        <v>1190</v>
      </c>
      <c r="D799">
        <v>0</v>
      </c>
      <c r="E799">
        <v>2701</v>
      </c>
      <c r="F799" s="2">
        <v>830906.86</v>
      </c>
      <c r="G799" s="2">
        <v>739772.78</v>
      </c>
      <c r="H799" s="2">
        <v>0</v>
      </c>
      <c r="I799" s="2">
        <v>817228.73</v>
      </c>
      <c r="J799" s="2">
        <v>13678</v>
      </c>
      <c r="K799" s="3">
        <v>0</v>
      </c>
      <c r="L799" s="3">
        <v>13678</v>
      </c>
      <c r="M799" s="3">
        <v>89626.08</v>
      </c>
      <c r="N799" s="4" t="s">
        <v>136</v>
      </c>
      <c r="O799" s="3" t="str">
        <f t="shared" si="31"/>
        <v>Other</v>
      </c>
      <c r="P799" s="11">
        <v>6590000</v>
      </c>
      <c r="Q799" s="3">
        <v>3648500000</v>
      </c>
      <c r="R799" s="3">
        <v>2386700000</v>
      </c>
      <c r="S799" s="11">
        <v>9645000</v>
      </c>
    </row>
    <row r="800" spans="1:19" x14ac:dyDescent="0.35">
      <c r="A800" s="1" t="s">
        <v>135</v>
      </c>
      <c r="B800" s="1" t="str">
        <f t="shared" si="32"/>
        <v>Kotak Mahindra Bank</v>
      </c>
      <c r="C800">
        <v>27</v>
      </c>
      <c r="D800">
        <v>27</v>
      </c>
      <c r="E800">
        <v>59</v>
      </c>
      <c r="F800" s="2">
        <v>49915.62</v>
      </c>
      <c r="G800" s="2">
        <v>45945</v>
      </c>
      <c r="H800" s="2">
        <v>0</v>
      </c>
      <c r="I800" s="2">
        <v>29017.62</v>
      </c>
      <c r="J800" s="2">
        <v>20898</v>
      </c>
      <c r="K800" s="3">
        <v>20898</v>
      </c>
      <c r="L800" s="3">
        <v>0</v>
      </c>
      <c r="M800" s="3">
        <v>3906.62</v>
      </c>
      <c r="N800" s="4" t="s">
        <v>136</v>
      </c>
      <c r="O800" s="3" t="str">
        <f t="shared" si="31"/>
        <v>Online</v>
      </c>
      <c r="P800" s="11">
        <v>6590000</v>
      </c>
      <c r="Q800" s="3">
        <v>3648500000</v>
      </c>
      <c r="R800" s="3">
        <v>2386700000</v>
      </c>
      <c r="S800" s="11">
        <v>9645000</v>
      </c>
    </row>
    <row r="801" spans="1:19" x14ac:dyDescent="0.35">
      <c r="A801" s="1" t="s">
        <v>114</v>
      </c>
      <c r="B801" s="1" t="str">
        <f t="shared" si="32"/>
        <v>State Bank of India</v>
      </c>
      <c r="C801">
        <v>729</v>
      </c>
      <c r="D801">
        <v>0</v>
      </c>
      <c r="E801">
        <v>2515</v>
      </c>
      <c r="F801" s="2">
        <v>810237.69</v>
      </c>
      <c r="G801" s="2">
        <v>810629.44</v>
      </c>
      <c r="H801" s="2">
        <v>0</v>
      </c>
      <c r="I801" s="2">
        <v>745758.69</v>
      </c>
      <c r="J801" s="2">
        <v>64479</v>
      </c>
      <c r="K801" s="3">
        <v>51583.199999999997</v>
      </c>
      <c r="L801" s="3">
        <v>12895.8</v>
      </c>
      <c r="M801" s="3">
        <v>0</v>
      </c>
      <c r="N801" s="4" t="s">
        <v>136</v>
      </c>
      <c r="O801" s="3" t="str">
        <f t="shared" si="31"/>
        <v>Offline - Box Office</v>
      </c>
      <c r="P801" s="11">
        <v>6590000</v>
      </c>
      <c r="Q801" s="3">
        <v>3648500000</v>
      </c>
      <c r="R801" s="3">
        <v>2386700000</v>
      </c>
      <c r="S801" s="11">
        <v>9645000</v>
      </c>
    </row>
    <row r="802" spans="1:19" x14ac:dyDescent="0.35">
      <c r="A802" s="1" t="s">
        <v>115</v>
      </c>
      <c r="B802" s="1" t="str">
        <f t="shared" si="32"/>
        <v>State Bank of India</v>
      </c>
      <c r="C802">
        <v>1388</v>
      </c>
      <c r="D802">
        <v>0</v>
      </c>
      <c r="E802">
        <v>5158</v>
      </c>
      <c r="F802" s="2">
        <v>1498434.47</v>
      </c>
      <c r="G802" s="2">
        <v>0</v>
      </c>
      <c r="H802" s="2">
        <v>1498434.47</v>
      </c>
      <c r="I802" s="2">
        <v>1375106.47</v>
      </c>
      <c r="J802" s="2">
        <v>123328</v>
      </c>
      <c r="K802" s="3">
        <v>98662.399999999994</v>
      </c>
      <c r="L802" s="3">
        <v>24665.599999999999</v>
      </c>
      <c r="M802" s="3">
        <v>0</v>
      </c>
      <c r="N802" s="4" t="s">
        <v>136</v>
      </c>
      <c r="O802" s="3" t="str">
        <f t="shared" si="31"/>
        <v>Offline - F&amp;B</v>
      </c>
      <c r="P802" s="11">
        <v>6590000</v>
      </c>
      <c r="Q802" s="3">
        <v>3648500000</v>
      </c>
      <c r="R802" s="3">
        <v>2386700000</v>
      </c>
      <c r="S802" s="11">
        <v>9645000</v>
      </c>
    </row>
    <row r="803" spans="1:19" x14ac:dyDescent="0.35">
      <c r="A803" s="1" t="s">
        <v>40</v>
      </c>
      <c r="B803" s="1" t="str">
        <f t="shared" si="32"/>
        <v>Standard Chartered Bank</v>
      </c>
      <c r="C803">
        <v>13</v>
      </c>
      <c r="D803">
        <v>13</v>
      </c>
      <c r="E803">
        <v>26</v>
      </c>
      <c r="F803" s="2">
        <v>9237.1200000000008</v>
      </c>
      <c r="G803" s="2">
        <v>9237.1200000000008</v>
      </c>
      <c r="H803" s="2">
        <v>0</v>
      </c>
      <c r="I803" s="2">
        <v>6670.52</v>
      </c>
      <c r="J803" s="2">
        <v>2566.6</v>
      </c>
      <c r="K803" s="3">
        <v>2566.6</v>
      </c>
      <c r="L803" s="3">
        <v>0</v>
      </c>
      <c r="M803" s="3">
        <v>0</v>
      </c>
      <c r="N803" s="4" t="s">
        <v>136</v>
      </c>
      <c r="O803" s="3" t="str">
        <f t="shared" si="31"/>
        <v>Offline - Box Office</v>
      </c>
      <c r="P803" s="11">
        <v>6590000</v>
      </c>
      <c r="Q803" s="3">
        <v>3648500000</v>
      </c>
      <c r="R803" s="3">
        <v>2386700000</v>
      </c>
      <c r="S803" s="11">
        <v>9645000</v>
      </c>
    </row>
    <row r="804" spans="1:19" x14ac:dyDescent="0.35">
      <c r="A804" s="1" t="s">
        <v>41</v>
      </c>
      <c r="B804" s="1" t="str">
        <f t="shared" si="32"/>
        <v>Standard Chartered Bank</v>
      </c>
      <c r="C804">
        <v>52</v>
      </c>
      <c r="D804">
        <v>52</v>
      </c>
      <c r="E804">
        <v>112</v>
      </c>
      <c r="F804" s="2">
        <v>31890.639999999999</v>
      </c>
      <c r="G804" s="2">
        <v>27971.599999999999</v>
      </c>
      <c r="H804" s="2">
        <v>0</v>
      </c>
      <c r="I804" s="2">
        <v>21794.84</v>
      </c>
      <c r="J804" s="2">
        <v>10095.799999999999</v>
      </c>
      <c r="K804" s="3">
        <v>10095.799999999999</v>
      </c>
      <c r="L804" s="3">
        <v>0</v>
      </c>
      <c r="M804" s="3">
        <v>3809.04</v>
      </c>
      <c r="N804" s="4" t="s">
        <v>136</v>
      </c>
      <c r="O804" s="3" t="str">
        <f t="shared" si="31"/>
        <v>Online</v>
      </c>
      <c r="P804" s="11">
        <v>6590000</v>
      </c>
      <c r="Q804" s="3">
        <v>3648500000</v>
      </c>
      <c r="R804" s="3">
        <v>2386700000</v>
      </c>
      <c r="S804" s="11">
        <v>9645000</v>
      </c>
    </row>
    <row r="805" spans="1:19" x14ac:dyDescent="0.35">
      <c r="A805" s="1" t="s">
        <v>125</v>
      </c>
      <c r="B805" s="1" t="str">
        <f t="shared" si="32"/>
        <v>HDFC Bank</v>
      </c>
      <c r="C805">
        <v>3296</v>
      </c>
      <c r="D805">
        <v>0</v>
      </c>
      <c r="E805">
        <v>19522</v>
      </c>
      <c r="F805" s="2">
        <v>6998469.3799999999</v>
      </c>
      <c r="G805" s="2">
        <v>3022020.08</v>
      </c>
      <c r="H805" s="2">
        <v>3908439.98</v>
      </c>
      <c r="I805" s="2">
        <v>6700987.3799999999</v>
      </c>
      <c r="J805" s="2">
        <v>297482</v>
      </c>
      <c r="K805" s="3">
        <v>0</v>
      </c>
      <c r="L805" s="3">
        <v>297482</v>
      </c>
      <c r="M805" s="3">
        <v>67238.42</v>
      </c>
      <c r="N805" s="4" t="s">
        <v>136</v>
      </c>
      <c r="O805" s="3" t="str">
        <f t="shared" si="31"/>
        <v>Other</v>
      </c>
      <c r="P805" s="11">
        <v>6590000</v>
      </c>
      <c r="Q805" s="3">
        <v>3648500000</v>
      </c>
      <c r="R805" s="3">
        <v>2386700000</v>
      </c>
      <c r="S805" s="11">
        <v>9645000</v>
      </c>
    </row>
    <row r="806" spans="1:19" x14ac:dyDescent="0.35">
      <c r="A806" s="1" t="s">
        <v>137</v>
      </c>
      <c r="B806" s="1" t="str">
        <f t="shared" si="32"/>
        <v>Axis Bank</v>
      </c>
      <c r="C806">
        <v>16</v>
      </c>
      <c r="D806">
        <v>0</v>
      </c>
      <c r="E806">
        <v>35</v>
      </c>
      <c r="F806" s="2">
        <v>15912.08</v>
      </c>
      <c r="G806" s="2">
        <v>13225</v>
      </c>
      <c r="H806" s="2">
        <v>910</v>
      </c>
      <c r="I806" s="2">
        <v>12132.08</v>
      </c>
      <c r="J806" s="2">
        <v>3780</v>
      </c>
      <c r="K806" s="3">
        <v>2268</v>
      </c>
      <c r="L806" s="3">
        <v>1512</v>
      </c>
      <c r="M806" s="3">
        <v>1735.08</v>
      </c>
      <c r="N806" s="4" t="s">
        <v>138</v>
      </c>
      <c r="O806" s="3" t="str">
        <f t="shared" si="31"/>
        <v>Online</v>
      </c>
      <c r="P806" s="11">
        <v>11500000</v>
      </c>
      <c r="Q806" s="3">
        <v>8124400000</v>
      </c>
      <c r="R806" s="3">
        <v>5457700000</v>
      </c>
      <c r="S806" s="11">
        <v>16400000</v>
      </c>
    </row>
    <row r="807" spans="1:19" x14ac:dyDescent="0.35">
      <c r="A807" s="1" t="s">
        <v>91</v>
      </c>
      <c r="B807" s="1" t="str">
        <f t="shared" si="32"/>
        <v>American Express</v>
      </c>
      <c r="C807">
        <v>385</v>
      </c>
      <c r="D807">
        <v>385</v>
      </c>
      <c r="E807">
        <v>1005</v>
      </c>
      <c r="F807" s="2">
        <v>743400.98</v>
      </c>
      <c r="G807" s="2">
        <v>743471.14</v>
      </c>
      <c r="H807" s="2">
        <v>0</v>
      </c>
      <c r="I807" s="2">
        <v>582154.6</v>
      </c>
      <c r="J807" s="2">
        <v>161246.38</v>
      </c>
      <c r="K807" s="3">
        <v>80623.25</v>
      </c>
      <c r="L807" s="3">
        <v>80623.25</v>
      </c>
      <c r="M807" s="3">
        <v>0</v>
      </c>
      <c r="N807" s="4" t="s">
        <v>138</v>
      </c>
      <c r="O807" s="3" t="str">
        <f t="shared" si="31"/>
        <v>Offline - Box Office</v>
      </c>
      <c r="P807" s="11">
        <v>11500000</v>
      </c>
      <c r="Q807" s="3">
        <v>8124400000</v>
      </c>
      <c r="R807" s="3">
        <v>5457700000</v>
      </c>
      <c r="S807" s="11">
        <v>16400000</v>
      </c>
    </row>
    <row r="808" spans="1:19" x14ac:dyDescent="0.35">
      <c r="A808" s="1" t="s">
        <v>93</v>
      </c>
      <c r="B808" s="1" t="str">
        <f t="shared" si="32"/>
        <v>American Express</v>
      </c>
      <c r="C808">
        <v>2724</v>
      </c>
      <c r="D808">
        <v>2724</v>
      </c>
      <c r="E808">
        <v>6992</v>
      </c>
      <c r="F808" s="2">
        <v>5355714.08</v>
      </c>
      <c r="G808" s="2">
        <v>4871398.96</v>
      </c>
      <c r="H808" s="2">
        <v>47449</v>
      </c>
      <c r="I808" s="2">
        <v>4167708.9</v>
      </c>
      <c r="J808" s="2">
        <v>1188005.18</v>
      </c>
      <c r="K808" s="3">
        <v>594003.07999999996</v>
      </c>
      <c r="L808" s="3">
        <v>594003.07999999996</v>
      </c>
      <c r="M808" s="3">
        <v>428044.12</v>
      </c>
      <c r="N808" s="4" t="s">
        <v>138</v>
      </c>
      <c r="O808" s="3" t="str">
        <f t="shared" si="31"/>
        <v>Online</v>
      </c>
      <c r="P808" s="11">
        <v>11500000</v>
      </c>
      <c r="Q808" s="3">
        <v>8124400000</v>
      </c>
      <c r="R808" s="3">
        <v>5457700000</v>
      </c>
      <c r="S808" s="11">
        <v>16400000</v>
      </c>
    </row>
    <row r="809" spans="1:19" x14ac:dyDescent="0.35">
      <c r="A809" s="1" t="s">
        <v>43</v>
      </c>
      <c r="B809" s="1" t="str">
        <f t="shared" si="32"/>
        <v>Axis Bank</v>
      </c>
      <c r="C809">
        <v>31</v>
      </c>
      <c r="D809">
        <v>31</v>
      </c>
      <c r="E809">
        <v>77</v>
      </c>
      <c r="F809" s="2">
        <v>33482.959999999999</v>
      </c>
      <c r="G809" s="2">
        <v>33482.959999999999</v>
      </c>
      <c r="H809" s="2">
        <v>0</v>
      </c>
      <c r="I809" s="2">
        <v>27428.959999999999</v>
      </c>
      <c r="J809" s="2">
        <v>6054</v>
      </c>
      <c r="K809" s="3">
        <v>5327.52</v>
      </c>
      <c r="L809" s="3">
        <v>726.48</v>
      </c>
      <c r="M809" s="3">
        <v>0</v>
      </c>
      <c r="N809" s="4" t="s">
        <v>138</v>
      </c>
      <c r="O809" s="3" t="str">
        <f t="shared" si="31"/>
        <v>Offline - Box Office</v>
      </c>
      <c r="P809" s="11">
        <v>11500000</v>
      </c>
      <c r="Q809" s="3">
        <v>8124400000</v>
      </c>
      <c r="R809" s="3">
        <v>5457700000</v>
      </c>
      <c r="S809" s="11">
        <v>16400000</v>
      </c>
    </row>
    <row r="810" spans="1:19" x14ac:dyDescent="0.35">
      <c r="A810" s="1" t="s">
        <v>23</v>
      </c>
      <c r="B810" s="1" t="str">
        <f t="shared" si="32"/>
        <v>Axis Bank</v>
      </c>
      <c r="C810">
        <v>48</v>
      </c>
      <c r="D810">
        <v>48</v>
      </c>
      <c r="E810">
        <v>122</v>
      </c>
      <c r="F810" s="2">
        <v>44978.97</v>
      </c>
      <c r="G810" s="2">
        <v>39298.33</v>
      </c>
      <c r="H810" s="2">
        <v>410</v>
      </c>
      <c r="I810" s="2">
        <v>35691.42</v>
      </c>
      <c r="J810" s="2">
        <v>9287.5499999999993</v>
      </c>
      <c r="K810" s="3">
        <v>7894.42</v>
      </c>
      <c r="L810" s="3">
        <v>1393.13</v>
      </c>
      <c r="M810" s="3">
        <v>5130.6400000000003</v>
      </c>
      <c r="N810" s="4" t="s">
        <v>138</v>
      </c>
      <c r="O810" s="3" t="str">
        <f t="shared" si="31"/>
        <v>Online</v>
      </c>
      <c r="P810" s="11">
        <v>11500000</v>
      </c>
      <c r="Q810" s="3">
        <v>8124400000</v>
      </c>
      <c r="R810" s="3">
        <v>5457700000</v>
      </c>
      <c r="S810" s="11">
        <v>16400000</v>
      </c>
    </row>
    <row r="811" spans="1:19" x14ac:dyDescent="0.35">
      <c r="A811" s="1" t="s">
        <v>44</v>
      </c>
      <c r="B811" s="1" t="str">
        <f t="shared" si="32"/>
        <v>Axis Bank</v>
      </c>
      <c r="C811">
        <v>402</v>
      </c>
      <c r="D811">
        <v>402</v>
      </c>
      <c r="E811">
        <v>991</v>
      </c>
      <c r="F811" s="2">
        <v>302426.56</v>
      </c>
      <c r="G811" s="2">
        <v>302426.56</v>
      </c>
      <c r="H811" s="2">
        <v>0</v>
      </c>
      <c r="I811" s="2">
        <v>223826.51</v>
      </c>
      <c r="J811" s="2">
        <v>78600.05</v>
      </c>
      <c r="K811" s="3">
        <v>69167.98</v>
      </c>
      <c r="L811" s="3">
        <v>9432.07</v>
      </c>
      <c r="M811" s="3">
        <v>0</v>
      </c>
      <c r="N811" s="4" t="s">
        <v>138</v>
      </c>
      <c r="O811" s="3" t="str">
        <f t="shared" si="31"/>
        <v>Offline - Box Office</v>
      </c>
      <c r="P811" s="11">
        <v>11500000</v>
      </c>
      <c r="Q811" s="3">
        <v>8124400000</v>
      </c>
      <c r="R811" s="3">
        <v>5457700000</v>
      </c>
      <c r="S811" s="11">
        <v>16400000</v>
      </c>
    </row>
    <row r="812" spans="1:19" x14ac:dyDescent="0.35">
      <c r="A812" s="1" t="s">
        <v>24</v>
      </c>
      <c r="B812" s="1" t="str">
        <f t="shared" si="32"/>
        <v>Axis Bank</v>
      </c>
      <c r="C812">
        <v>1923</v>
      </c>
      <c r="D812">
        <v>1923</v>
      </c>
      <c r="E812">
        <v>4436</v>
      </c>
      <c r="F812" s="2">
        <v>1515004.89</v>
      </c>
      <c r="G812" s="2">
        <v>1313128.8600000001</v>
      </c>
      <c r="H812" s="2">
        <v>12759</v>
      </c>
      <c r="I812" s="2">
        <v>1139752.81</v>
      </c>
      <c r="J812" s="2">
        <v>375252.08</v>
      </c>
      <c r="K812" s="3">
        <v>318964.34999999998</v>
      </c>
      <c r="L812" s="3">
        <v>56287.73</v>
      </c>
      <c r="M812" s="3">
        <v>185331.56</v>
      </c>
      <c r="N812" s="4" t="s">
        <v>138</v>
      </c>
      <c r="O812" s="3" t="str">
        <f t="shared" si="31"/>
        <v>Online</v>
      </c>
      <c r="P812" s="11">
        <v>11500000</v>
      </c>
      <c r="Q812" s="3">
        <v>8124400000</v>
      </c>
      <c r="R812" s="3">
        <v>5457700000</v>
      </c>
      <c r="S812" s="11">
        <v>16400000</v>
      </c>
    </row>
    <row r="813" spans="1:19" x14ac:dyDescent="0.35">
      <c r="A813" s="1" t="s">
        <v>139</v>
      </c>
      <c r="B813" s="1" t="str">
        <f t="shared" si="32"/>
        <v>BOB Card</v>
      </c>
      <c r="C813">
        <v>1</v>
      </c>
      <c r="D813">
        <v>0</v>
      </c>
      <c r="E813">
        <v>1</v>
      </c>
      <c r="F813" s="2">
        <v>790</v>
      </c>
      <c r="G813" s="2">
        <v>0</v>
      </c>
      <c r="H813" s="2">
        <v>790</v>
      </c>
      <c r="I813" s="2">
        <v>711</v>
      </c>
      <c r="J813" s="2">
        <v>79</v>
      </c>
      <c r="K813" s="3">
        <v>55.3</v>
      </c>
      <c r="L813" s="3">
        <v>23.7</v>
      </c>
      <c r="M813" s="3">
        <v>0</v>
      </c>
      <c r="N813" s="4" t="s">
        <v>138</v>
      </c>
      <c r="O813" s="3" t="str">
        <f t="shared" si="31"/>
        <v>Offline - F&amp;B</v>
      </c>
      <c r="P813" s="11">
        <v>11500000</v>
      </c>
      <c r="Q813" s="3">
        <v>8124400000</v>
      </c>
      <c r="R813" s="3">
        <v>5457700000</v>
      </c>
      <c r="S813" s="11">
        <v>16400000</v>
      </c>
    </row>
    <row r="814" spans="1:19" x14ac:dyDescent="0.35">
      <c r="A814" s="1" t="s">
        <v>54</v>
      </c>
      <c r="B814" s="1" t="str">
        <f t="shared" si="32"/>
        <v>BOB Card</v>
      </c>
      <c r="C814">
        <v>93</v>
      </c>
      <c r="D814">
        <v>0</v>
      </c>
      <c r="E814">
        <v>206</v>
      </c>
      <c r="F814" s="2">
        <v>91348.77</v>
      </c>
      <c r="G814" s="2">
        <v>80307.070000000007</v>
      </c>
      <c r="H814" s="2">
        <v>9572</v>
      </c>
      <c r="I814" s="2">
        <v>83376.77</v>
      </c>
      <c r="J814" s="2">
        <v>7972</v>
      </c>
      <c r="K814" s="3">
        <v>5580.4</v>
      </c>
      <c r="L814" s="3">
        <v>2391.6</v>
      </c>
      <c r="M814" s="3">
        <v>1433.7</v>
      </c>
      <c r="N814" s="4" t="s">
        <v>138</v>
      </c>
      <c r="O814" s="3" t="str">
        <f t="shared" si="31"/>
        <v>Online</v>
      </c>
      <c r="P814" s="11">
        <v>11500000</v>
      </c>
      <c r="Q814" s="3">
        <v>8124400000</v>
      </c>
      <c r="R814" s="3">
        <v>5457700000</v>
      </c>
      <c r="S814" s="11">
        <v>16400000</v>
      </c>
    </row>
    <row r="815" spans="1:19" x14ac:dyDescent="0.35">
      <c r="A815" s="1" t="s">
        <v>55</v>
      </c>
      <c r="B815" s="1" t="str">
        <f t="shared" si="32"/>
        <v>BOB Card</v>
      </c>
      <c r="C815">
        <v>1065</v>
      </c>
      <c r="D815">
        <v>0</v>
      </c>
      <c r="E815">
        <v>3263</v>
      </c>
      <c r="F815" s="2">
        <v>990498.97</v>
      </c>
      <c r="G815" s="2">
        <v>0</v>
      </c>
      <c r="H815" s="2">
        <v>990498.97</v>
      </c>
      <c r="I815" s="2">
        <v>893353.97</v>
      </c>
      <c r="J815" s="2">
        <v>97145</v>
      </c>
      <c r="K815" s="3">
        <v>68001.5</v>
      </c>
      <c r="L815" s="3">
        <v>29143.5</v>
      </c>
      <c r="M815" s="3">
        <v>0</v>
      </c>
      <c r="N815" s="4" t="s">
        <v>138</v>
      </c>
      <c r="O815" s="3" t="str">
        <f t="shared" si="31"/>
        <v>Offline - F&amp;B</v>
      </c>
      <c r="P815" s="11">
        <v>11500000</v>
      </c>
      <c r="Q815" s="3">
        <v>8124400000</v>
      </c>
      <c r="R815" s="3">
        <v>5457700000</v>
      </c>
      <c r="S815" s="11">
        <v>16400000</v>
      </c>
    </row>
    <row r="816" spans="1:19" x14ac:dyDescent="0.35">
      <c r="A816" s="1" t="s">
        <v>119</v>
      </c>
      <c r="B816" s="1" t="str">
        <f t="shared" si="32"/>
        <v>AU Bank</v>
      </c>
      <c r="C816">
        <v>46</v>
      </c>
      <c r="D816">
        <v>46</v>
      </c>
      <c r="E816">
        <v>134</v>
      </c>
      <c r="F816" s="2">
        <v>54427</v>
      </c>
      <c r="G816" s="2">
        <v>54427</v>
      </c>
      <c r="H816" s="2">
        <v>0</v>
      </c>
      <c r="I816" s="2">
        <v>43238</v>
      </c>
      <c r="J816" s="2">
        <v>11189</v>
      </c>
      <c r="K816" s="3">
        <v>7832.3</v>
      </c>
      <c r="L816" s="3">
        <v>3356.7</v>
      </c>
      <c r="M816" s="3">
        <v>0</v>
      </c>
      <c r="N816" s="4" t="s">
        <v>138</v>
      </c>
      <c r="O816" s="3" t="str">
        <f t="shared" si="31"/>
        <v>Offline - Box Office</v>
      </c>
      <c r="P816" s="11">
        <v>11500000</v>
      </c>
      <c r="Q816" s="3">
        <v>8124400000</v>
      </c>
      <c r="R816" s="3">
        <v>5457700000</v>
      </c>
      <c r="S816" s="11">
        <v>16400000</v>
      </c>
    </row>
    <row r="817" spans="1:19" x14ac:dyDescent="0.35">
      <c r="A817" s="1" t="s">
        <v>120</v>
      </c>
      <c r="B817" s="1" t="str">
        <f t="shared" si="32"/>
        <v>AU Bank</v>
      </c>
      <c r="C817">
        <v>92</v>
      </c>
      <c r="D817">
        <v>92</v>
      </c>
      <c r="E817">
        <v>218</v>
      </c>
      <c r="F817" s="2">
        <v>94130.74</v>
      </c>
      <c r="G817" s="2">
        <v>82222.84</v>
      </c>
      <c r="H817" s="2">
        <v>1475</v>
      </c>
      <c r="I817" s="2">
        <v>72201.820000000007</v>
      </c>
      <c r="J817" s="2">
        <v>21928.92</v>
      </c>
      <c r="K817" s="3">
        <v>15350.24</v>
      </c>
      <c r="L817" s="3">
        <v>6578.68</v>
      </c>
      <c r="M817" s="3">
        <v>10178.9</v>
      </c>
      <c r="N817" s="4" t="s">
        <v>138</v>
      </c>
      <c r="O817" s="3" t="str">
        <f t="shared" si="31"/>
        <v>Online</v>
      </c>
      <c r="P817" s="11">
        <v>11500000</v>
      </c>
      <c r="Q817" s="3">
        <v>8124400000</v>
      </c>
      <c r="R817" s="3">
        <v>5457700000</v>
      </c>
      <c r="S817" s="11">
        <v>16400000</v>
      </c>
    </row>
    <row r="818" spans="1:19" x14ac:dyDescent="0.35">
      <c r="A818" s="1" t="s">
        <v>27</v>
      </c>
      <c r="B818" s="1" t="str">
        <f t="shared" si="32"/>
        <v>Federal Bank</v>
      </c>
      <c r="C818">
        <v>63</v>
      </c>
      <c r="D818">
        <v>63</v>
      </c>
      <c r="E818">
        <v>176</v>
      </c>
      <c r="F818" s="2">
        <v>56100.41</v>
      </c>
      <c r="G818" s="2">
        <v>56100.41</v>
      </c>
      <c r="H818" s="2">
        <v>0</v>
      </c>
      <c r="I818" s="2">
        <v>49800.41</v>
      </c>
      <c r="J818" s="2">
        <v>6300</v>
      </c>
      <c r="K818" s="3">
        <v>6300</v>
      </c>
      <c r="L818" s="3">
        <v>0</v>
      </c>
      <c r="M818" s="3">
        <v>0</v>
      </c>
      <c r="N818" s="4" t="s">
        <v>138</v>
      </c>
      <c r="O818" s="3" t="str">
        <f t="shared" si="31"/>
        <v>Offline - Box Office</v>
      </c>
      <c r="P818" s="11">
        <v>11500000</v>
      </c>
      <c r="Q818" s="3">
        <v>8124400000</v>
      </c>
      <c r="R818" s="3">
        <v>5457700000</v>
      </c>
      <c r="S818" s="11">
        <v>16400000</v>
      </c>
    </row>
    <row r="819" spans="1:19" x14ac:dyDescent="0.35">
      <c r="A819" s="1" t="s">
        <v>28</v>
      </c>
      <c r="B819" s="1" t="str">
        <f t="shared" si="32"/>
        <v>Federal Bank</v>
      </c>
      <c r="C819">
        <v>190</v>
      </c>
      <c r="D819">
        <v>190</v>
      </c>
      <c r="E819">
        <v>499</v>
      </c>
      <c r="F819" s="2">
        <v>176172.34</v>
      </c>
      <c r="G819" s="2">
        <v>152812.51999999999</v>
      </c>
      <c r="H819" s="2">
        <v>1053</v>
      </c>
      <c r="I819" s="2">
        <v>157277.82</v>
      </c>
      <c r="J819" s="2">
        <v>18894.52</v>
      </c>
      <c r="K819" s="3">
        <v>18894.52</v>
      </c>
      <c r="L819" s="3">
        <v>0</v>
      </c>
      <c r="M819" s="3">
        <v>21862.82</v>
      </c>
      <c r="N819" s="4" t="s">
        <v>138</v>
      </c>
      <c r="O819" s="3" t="str">
        <f t="shared" si="31"/>
        <v>Online</v>
      </c>
      <c r="P819" s="11">
        <v>11500000</v>
      </c>
      <c r="Q819" s="3">
        <v>8124400000</v>
      </c>
      <c r="R819" s="3">
        <v>5457700000</v>
      </c>
      <c r="S819" s="11">
        <v>16400000</v>
      </c>
    </row>
    <row r="820" spans="1:19" x14ac:dyDescent="0.35">
      <c r="A820" s="1" t="s">
        <v>29</v>
      </c>
      <c r="B820" s="1" t="str">
        <f t="shared" si="32"/>
        <v>Federal Bank</v>
      </c>
      <c r="C820">
        <v>253</v>
      </c>
      <c r="D820">
        <v>253</v>
      </c>
      <c r="E820">
        <v>665</v>
      </c>
      <c r="F820" s="2">
        <v>175296.91</v>
      </c>
      <c r="G820" s="2">
        <v>175296.91</v>
      </c>
      <c r="H820" s="2">
        <v>0</v>
      </c>
      <c r="I820" s="2">
        <v>150012.91</v>
      </c>
      <c r="J820" s="2">
        <v>25284</v>
      </c>
      <c r="K820" s="3">
        <v>25284</v>
      </c>
      <c r="L820" s="3">
        <v>0</v>
      </c>
      <c r="M820" s="3">
        <v>0</v>
      </c>
      <c r="N820" s="4" t="s">
        <v>138</v>
      </c>
      <c r="O820" s="3" t="str">
        <f t="shared" si="31"/>
        <v>Offline - Box Office</v>
      </c>
      <c r="P820" s="11">
        <v>11500000</v>
      </c>
      <c r="Q820" s="3">
        <v>8124400000</v>
      </c>
      <c r="R820" s="3">
        <v>5457700000</v>
      </c>
      <c r="S820" s="11">
        <v>16400000</v>
      </c>
    </row>
    <row r="821" spans="1:19" x14ac:dyDescent="0.35">
      <c r="A821" s="1" t="s">
        <v>30</v>
      </c>
      <c r="B821" s="1" t="str">
        <f t="shared" si="32"/>
        <v>Federal Bank</v>
      </c>
      <c r="C821">
        <v>469</v>
      </c>
      <c r="D821">
        <v>469</v>
      </c>
      <c r="E821">
        <v>1149</v>
      </c>
      <c r="F821" s="2">
        <v>362187.92</v>
      </c>
      <c r="G821" s="2">
        <v>312035.65999999997</v>
      </c>
      <c r="H821" s="2">
        <v>1978</v>
      </c>
      <c r="I821" s="2">
        <v>315457.63</v>
      </c>
      <c r="J821" s="2">
        <v>46730.29</v>
      </c>
      <c r="K821" s="3">
        <v>46730.29</v>
      </c>
      <c r="L821" s="3">
        <v>0</v>
      </c>
      <c r="M821" s="3">
        <v>47074.26</v>
      </c>
      <c r="N821" s="4" t="s">
        <v>138</v>
      </c>
      <c r="O821" s="3" t="str">
        <f t="shared" si="31"/>
        <v>Online</v>
      </c>
      <c r="P821" s="11">
        <v>11500000</v>
      </c>
      <c r="Q821" s="3">
        <v>8124400000</v>
      </c>
      <c r="R821" s="3">
        <v>5457700000</v>
      </c>
      <c r="S821" s="11">
        <v>16400000</v>
      </c>
    </row>
    <row r="822" spans="1:19" x14ac:dyDescent="0.35">
      <c r="A822" s="1" t="s">
        <v>121</v>
      </c>
      <c r="B822" s="1" t="str">
        <f t="shared" si="32"/>
        <v>AU Bank</v>
      </c>
      <c r="C822">
        <v>199</v>
      </c>
      <c r="D822">
        <v>0</v>
      </c>
      <c r="E822">
        <v>573</v>
      </c>
      <c r="F822" s="2">
        <v>195327</v>
      </c>
      <c r="G822" s="2">
        <v>195327</v>
      </c>
      <c r="H822" s="2">
        <v>0</v>
      </c>
      <c r="I822" s="2">
        <v>167807</v>
      </c>
      <c r="J822" s="2">
        <v>27520</v>
      </c>
      <c r="K822" s="3">
        <v>19264</v>
      </c>
      <c r="L822" s="3">
        <v>8256</v>
      </c>
      <c r="M822" s="3">
        <v>0</v>
      </c>
      <c r="N822" s="4" t="s">
        <v>138</v>
      </c>
      <c r="O822" s="3" t="str">
        <f t="shared" si="31"/>
        <v>Offline - Box Office</v>
      </c>
      <c r="P822" s="11">
        <v>11500000</v>
      </c>
      <c r="Q822" s="3">
        <v>8124400000</v>
      </c>
      <c r="R822" s="3">
        <v>5457700000</v>
      </c>
      <c r="S822" s="11">
        <v>16400000</v>
      </c>
    </row>
    <row r="823" spans="1:19" x14ac:dyDescent="0.35">
      <c r="A823" s="1" t="s">
        <v>122</v>
      </c>
      <c r="B823" s="1" t="str">
        <f t="shared" si="32"/>
        <v>AU Bank</v>
      </c>
      <c r="C823">
        <v>122</v>
      </c>
      <c r="D823">
        <v>0</v>
      </c>
      <c r="E823">
        <v>307</v>
      </c>
      <c r="F823" s="2">
        <v>136178.4</v>
      </c>
      <c r="G823" s="2">
        <v>117578</v>
      </c>
      <c r="H823" s="2">
        <v>2550</v>
      </c>
      <c r="I823" s="2">
        <v>119150.39999999999</v>
      </c>
      <c r="J823" s="2">
        <v>17028</v>
      </c>
      <c r="K823" s="3">
        <v>11919.6</v>
      </c>
      <c r="L823" s="3">
        <v>5108.3999999999996</v>
      </c>
      <c r="M823" s="3">
        <v>15758.4</v>
      </c>
      <c r="N823" s="4" t="s">
        <v>138</v>
      </c>
      <c r="O823" s="3" t="str">
        <f t="shared" si="31"/>
        <v>Online</v>
      </c>
      <c r="P823" s="11">
        <v>11500000</v>
      </c>
      <c r="Q823" s="3">
        <v>8124400000</v>
      </c>
      <c r="R823" s="3">
        <v>5457700000</v>
      </c>
      <c r="S823" s="11">
        <v>16400000</v>
      </c>
    </row>
    <row r="824" spans="1:19" x14ac:dyDescent="0.35">
      <c r="A824" s="1" t="s">
        <v>123</v>
      </c>
      <c r="B824" s="1" t="str">
        <f t="shared" si="32"/>
        <v>AU Bank</v>
      </c>
      <c r="C824">
        <v>256</v>
      </c>
      <c r="D824">
        <v>0</v>
      </c>
      <c r="E824">
        <v>715</v>
      </c>
      <c r="F824" s="2">
        <v>236940</v>
      </c>
      <c r="G824" s="2">
        <v>236940</v>
      </c>
      <c r="H824" s="2">
        <v>0</v>
      </c>
      <c r="I824" s="2">
        <v>211340</v>
      </c>
      <c r="J824" s="2">
        <v>25600</v>
      </c>
      <c r="K824" s="3">
        <v>17920</v>
      </c>
      <c r="L824" s="3">
        <v>7680</v>
      </c>
      <c r="M824" s="3">
        <v>0</v>
      </c>
      <c r="N824" s="4" t="s">
        <v>138</v>
      </c>
      <c r="O824" s="3" t="str">
        <f t="shared" si="31"/>
        <v>Offline - Box Office</v>
      </c>
      <c r="P824" s="11">
        <v>11500000</v>
      </c>
      <c r="Q824" s="3">
        <v>8124400000</v>
      </c>
      <c r="R824" s="3">
        <v>5457700000</v>
      </c>
      <c r="S824" s="11">
        <v>16400000</v>
      </c>
    </row>
    <row r="825" spans="1:19" x14ac:dyDescent="0.35">
      <c r="A825" s="1" t="s">
        <v>124</v>
      </c>
      <c r="B825" s="1" t="str">
        <f t="shared" si="32"/>
        <v>AU Bank</v>
      </c>
      <c r="C825">
        <v>82</v>
      </c>
      <c r="D825">
        <v>0</v>
      </c>
      <c r="E825">
        <v>197</v>
      </c>
      <c r="F825" s="2">
        <v>88273.7</v>
      </c>
      <c r="G825" s="2">
        <v>76556.06</v>
      </c>
      <c r="H825" s="2">
        <v>1035</v>
      </c>
      <c r="I825" s="2">
        <v>80073.7</v>
      </c>
      <c r="J825" s="2">
        <v>8200</v>
      </c>
      <c r="K825" s="3">
        <v>5740</v>
      </c>
      <c r="L825" s="3">
        <v>2460</v>
      </c>
      <c r="M825" s="3">
        <v>10468.64</v>
      </c>
      <c r="N825" s="4" t="s">
        <v>138</v>
      </c>
      <c r="O825" s="3" t="str">
        <f t="shared" si="31"/>
        <v>Online</v>
      </c>
      <c r="P825" s="11">
        <v>11500000</v>
      </c>
      <c r="Q825" s="3">
        <v>8124400000</v>
      </c>
      <c r="R825" s="3">
        <v>5457700000</v>
      </c>
      <c r="S825" s="11">
        <v>16400000</v>
      </c>
    </row>
    <row r="826" spans="1:19" x14ac:dyDescent="0.35">
      <c r="A826" s="1" t="s">
        <v>133</v>
      </c>
      <c r="B826" s="1" t="str">
        <f t="shared" si="32"/>
        <v>HDFC Bank</v>
      </c>
      <c r="C826">
        <v>244</v>
      </c>
      <c r="D826">
        <v>0</v>
      </c>
      <c r="E826">
        <v>321</v>
      </c>
      <c r="F826" s="2">
        <v>198200</v>
      </c>
      <c r="G826" s="2">
        <v>0</v>
      </c>
      <c r="H826" s="2">
        <v>198200</v>
      </c>
      <c r="I826" s="2">
        <v>173800</v>
      </c>
      <c r="J826" s="2">
        <v>24400</v>
      </c>
      <c r="K826" s="3">
        <v>24400</v>
      </c>
      <c r="L826" s="3">
        <v>0</v>
      </c>
      <c r="M826" s="3">
        <v>0</v>
      </c>
      <c r="N826" s="4" t="s">
        <v>138</v>
      </c>
      <c r="O826" s="3" t="str">
        <f t="shared" si="31"/>
        <v>Offline - F&amp;B</v>
      </c>
      <c r="P826" s="11">
        <v>11500000</v>
      </c>
      <c r="Q826" s="3">
        <v>8124400000</v>
      </c>
      <c r="R826" s="3">
        <v>5457700000</v>
      </c>
      <c r="S826" s="11">
        <v>16400000</v>
      </c>
    </row>
    <row r="827" spans="1:19" x14ac:dyDescent="0.35">
      <c r="A827" s="1" t="s">
        <v>32</v>
      </c>
      <c r="B827" s="1" t="str">
        <f t="shared" si="32"/>
        <v>ICICI Bank</v>
      </c>
      <c r="C827">
        <v>4183</v>
      </c>
      <c r="D827">
        <v>0</v>
      </c>
      <c r="E827">
        <v>11371</v>
      </c>
      <c r="F827" s="2">
        <v>3399256.51</v>
      </c>
      <c r="G827" s="2">
        <v>3399256.51</v>
      </c>
      <c r="H827" s="2">
        <v>0</v>
      </c>
      <c r="I827" s="2">
        <v>2957448.51</v>
      </c>
      <c r="J827" s="2">
        <v>441808</v>
      </c>
      <c r="K827" s="3">
        <v>388791.03999999998</v>
      </c>
      <c r="L827" s="3">
        <v>53016.959999999999</v>
      </c>
      <c r="M827" s="3">
        <v>0</v>
      </c>
      <c r="N827" s="4" t="s">
        <v>138</v>
      </c>
      <c r="O827" s="3" t="str">
        <f t="shared" si="31"/>
        <v>Offline - Box Office</v>
      </c>
      <c r="P827" s="11">
        <v>11500000</v>
      </c>
      <c r="Q827" s="3">
        <v>8124400000</v>
      </c>
      <c r="R827" s="3">
        <v>5457700000</v>
      </c>
      <c r="S827" s="11">
        <v>16400000</v>
      </c>
    </row>
    <row r="828" spans="1:19" x14ac:dyDescent="0.35">
      <c r="A828" s="1" t="s">
        <v>33</v>
      </c>
      <c r="B828" s="1" t="str">
        <f t="shared" si="32"/>
        <v>ICICI Bank</v>
      </c>
      <c r="C828">
        <v>2078</v>
      </c>
      <c r="D828">
        <v>0</v>
      </c>
      <c r="E828">
        <v>5551</v>
      </c>
      <c r="F828" s="2">
        <v>2072733.52</v>
      </c>
      <c r="G828" s="2">
        <v>1797027.2</v>
      </c>
      <c r="H828" s="2">
        <v>25100</v>
      </c>
      <c r="I828" s="2">
        <v>1843883.52</v>
      </c>
      <c r="J828" s="2">
        <v>228850</v>
      </c>
      <c r="K828" s="3">
        <v>194522.5</v>
      </c>
      <c r="L828" s="3">
        <v>34327.5</v>
      </c>
      <c r="M828" s="3">
        <v>245488.32</v>
      </c>
      <c r="N828" s="4" t="s">
        <v>138</v>
      </c>
      <c r="O828" s="3" t="str">
        <f t="shared" si="31"/>
        <v>Online</v>
      </c>
      <c r="P828" s="11">
        <v>11500000</v>
      </c>
      <c r="Q828" s="3">
        <v>8124400000</v>
      </c>
      <c r="R828" s="3">
        <v>5457700000</v>
      </c>
      <c r="S828" s="11">
        <v>16400000</v>
      </c>
    </row>
    <row r="829" spans="1:19" x14ac:dyDescent="0.35">
      <c r="A829" s="1" t="s">
        <v>34</v>
      </c>
      <c r="B829" s="1" t="str">
        <f t="shared" si="32"/>
        <v>ICICI Bank</v>
      </c>
      <c r="C829">
        <v>472</v>
      </c>
      <c r="D829">
        <v>0</v>
      </c>
      <c r="E829">
        <v>1267</v>
      </c>
      <c r="F829" s="2">
        <v>409401.81</v>
      </c>
      <c r="G829" s="2">
        <v>409401.81</v>
      </c>
      <c r="H829" s="2">
        <v>0</v>
      </c>
      <c r="I829" s="2">
        <v>384143.81</v>
      </c>
      <c r="J829" s="2">
        <v>25258</v>
      </c>
      <c r="K829" s="3">
        <v>22227.040000000001</v>
      </c>
      <c r="L829" s="3">
        <v>3030.96</v>
      </c>
      <c r="M829" s="3">
        <v>0</v>
      </c>
      <c r="N829" s="4" t="s">
        <v>138</v>
      </c>
      <c r="O829" s="3" t="str">
        <f t="shared" si="31"/>
        <v>Offline - Box Office</v>
      </c>
      <c r="P829" s="11">
        <v>11500000</v>
      </c>
      <c r="Q829" s="3">
        <v>8124400000</v>
      </c>
      <c r="R829" s="3">
        <v>5457700000</v>
      </c>
      <c r="S829" s="11">
        <v>16400000</v>
      </c>
    </row>
    <row r="830" spans="1:19" x14ac:dyDescent="0.35">
      <c r="A830" s="1" t="s">
        <v>35</v>
      </c>
      <c r="B830" s="1" t="str">
        <f t="shared" si="32"/>
        <v>ICICI Bank</v>
      </c>
      <c r="C830">
        <v>169</v>
      </c>
      <c r="D830">
        <v>0</v>
      </c>
      <c r="E830">
        <v>455</v>
      </c>
      <c r="F830" s="2">
        <v>200300.66</v>
      </c>
      <c r="G830" s="2">
        <v>174989.5</v>
      </c>
      <c r="H830" s="2">
        <v>3291</v>
      </c>
      <c r="I830" s="2">
        <v>190829.66</v>
      </c>
      <c r="J830" s="2">
        <v>9471</v>
      </c>
      <c r="K830" s="3">
        <v>8050.35</v>
      </c>
      <c r="L830" s="3">
        <v>1420.65</v>
      </c>
      <c r="M830" s="3">
        <v>21522.66</v>
      </c>
      <c r="N830" s="4" t="s">
        <v>138</v>
      </c>
      <c r="O830" s="3" t="str">
        <f t="shared" si="31"/>
        <v>Online</v>
      </c>
      <c r="P830" s="11">
        <v>11500000</v>
      </c>
      <c r="Q830" s="3">
        <v>8124400000</v>
      </c>
      <c r="R830" s="3">
        <v>5457700000</v>
      </c>
      <c r="S830" s="11">
        <v>16400000</v>
      </c>
    </row>
    <row r="831" spans="1:19" x14ac:dyDescent="0.35">
      <c r="A831" s="1" t="s">
        <v>48</v>
      </c>
      <c r="B831" s="1" t="str">
        <f t="shared" si="32"/>
        <v>IDBI Bank</v>
      </c>
      <c r="C831">
        <v>303</v>
      </c>
      <c r="D831">
        <v>0</v>
      </c>
      <c r="E831">
        <v>672</v>
      </c>
      <c r="F831" s="2">
        <v>224411.25</v>
      </c>
      <c r="G831" s="2">
        <v>224411.25</v>
      </c>
      <c r="H831" s="2">
        <v>0</v>
      </c>
      <c r="I831" s="2">
        <v>187753.25</v>
      </c>
      <c r="J831" s="2">
        <v>36658</v>
      </c>
      <c r="K831" s="3">
        <v>36658</v>
      </c>
      <c r="L831" s="3">
        <v>0</v>
      </c>
      <c r="M831" s="3">
        <v>0</v>
      </c>
      <c r="N831" s="4" t="s">
        <v>138</v>
      </c>
      <c r="O831" s="3" t="str">
        <f t="shared" si="31"/>
        <v>Offline - Box Office</v>
      </c>
      <c r="P831" s="11">
        <v>11500000</v>
      </c>
      <c r="Q831" s="3">
        <v>8124400000</v>
      </c>
      <c r="R831" s="3">
        <v>5457700000</v>
      </c>
      <c r="S831" s="11">
        <v>16400000</v>
      </c>
    </row>
    <row r="832" spans="1:19" x14ac:dyDescent="0.35">
      <c r="A832" s="1" t="s">
        <v>37</v>
      </c>
      <c r="B832" s="1" t="str">
        <f t="shared" si="32"/>
        <v>IDBI Bank</v>
      </c>
      <c r="C832">
        <v>379</v>
      </c>
      <c r="D832">
        <v>0</v>
      </c>
      <c r="E832">
        <v>829</v>
      </c>
      <c r="F832" s="2">
        <v>307336.59999999998</v>
      </c>
      <c r="G832" s="2">
        <v>268117.36</v>
      </c>
      <c r="H832" s="2">
        <v>4362</v>
      </c>
      <c r="I832" s="2">
        <v>259684.6</v>
      </c>
      <c r="J832" s="2">
        <v>47652</v>
      </c>
      <c r="K832" s="3">
        <v>47652</v>
      </c>
      <c r="L832" s="3">
        <v>0</v>
      </c>
      <c r="M832" s="3">
        <v>34207.24</v>
      </c>
      <c r="N832" s="4" t="s">
        <v>138</v>
      </c>
      <c r="O832" s="3" t="str">
        <f t="shared" si="31"/>
        <v>Online</v>
      </c>
      <c r="P832" s="11">
        <v>11500000</v>
      </c>
      <c r="Q832" s="3">
        <v>8124400000</v>
      </c>
      <c r="R832" s="3">
        <v>5457700000</v>
      </c>
      <c r="S832" s="11">
        <v>16400000</v>
      </c>
    </row>
    <row r="833" spans="1:19" x14ac:dyDescent="0.35">
      <c r="A833" s="1" t="s">
        <v>49</v>
      </c>
      <c r="B833" s="1" t="str">
        <f t="shared" si="32"/>
        <v>IDBI Bank</v>
      </c>
      <c r="C833">
        <v>467</v>
      </c>
      <c r="D833">
        <v>0</v>
      </c>
      <c r="E833">
        <v>1141</v>
      </c>
      <c r="F833" s="2">
        <v>331971.53999999998</v>
      </c>
      <c r="G833" s="2">
        <v>0</v>
      </c>
      <c r="H833" s="2">
        <v>331971.53999999998</v>
      </c>
      <c r="I833" s="2">
        <v>276857.53999999998</v>
      </c>
      <c r="J833" s="2">
        <v>55114</v>
      </c>
      <c r="K833" s="3">
        <v>38579.800000000003</v>
      </c>
      <c r="L833" s="3">
        <v>16534.2</v>
      </c>
      <c r="M833" s="3">
        <v>0</v>
      </c>
      <c r="N833" s="4" t="s">
        <v>138</v>
      </c>
      <c r="O833" s="3" t="str">
        <f t="shared" si="31"/>
        <v>Offline - F&amp;B</v>
      </c>
      <c r="P833" s="11">
        <v>11500000</v>
      </c>
      <c r="Q833" s="3">
        <v>8124400000</v>
      </c>
      <c r="R833" s="3">
        <v>5457700000</v>
      </c>
      <c r="S833" s="11">
        <v>16400000</v>
      </c>
    </row>
    <row r="834" spans="1:19" x14ac:dyDescent="0.35">
      <c r="A834" s="1" t="s">
        <v>52</v>
      </c>
      <c r="B834" s="1" t="str">
        <f t="shared" si="32"/>
        <v>Kotak Mahindra Bank</v>
      </c>
      <c r="C834">
        <v>26</v>
      </c>
      <c r="D834">
        <v>26</v>
      </c>
      <c r="E834">
        <v>60</v>
      </c>
      <c r="F834" s="2">
        <v>79925.960000000006</v>
      </c>
      <c r="G834" s="2">
        <v>75050</v>
      </c>
      <c r="H834" s="2">
        <v>595</v>
      </c>
      <c r="I834" s="2">
        <v>59825.96</v>
      </c>
      <c r="J834" s="2">
        <v>20100</v>
      </c>
      <c r="K834" s="3">
        <v>20100</v>
      </c>
      <c r="L834" s="3">
        <v>0</v>
      </c>
      <c r="M834" s="3">
        <v>4214.96</v>
      </c>
      <c r="N834" s="4" t="s">
        <v>138</v>
      </c>
      <c r="O834" s="3" t="str">
        <f t="shared" ref="O834:O897" si="33">IF(ISNUMBER(SEARCH("Box Office",A834)),"Offline - Box Office",
IF(ISNUMBER(SEARCH("Digital Platforms",A834)),"Online",
IF(ISNUMBER(SEARCH("Refuel",A834)),"Offline - F&amp;B",
IF(ISNUMBER(SEARCH("Food &amp; Beverages",A834)),"Offline - F&amp;B",
IF(ISNUMBER(SEARCH("F&amp;B",A834)),"Offline - F&amp;B",
IF(ISNUMBER(SEARCH("Kiosk",A834)),"Offline - Box Office",
IF(ISNUMBER(SEARCH("Cinema",A834)),"Offline - Box Office",
"Other")))))))</f>
        <v>Online</v>
      </c>
      <c r="P834" s="11">
        <v>11500000</v>
      </c>
      <c r="Q834" s="3">
        <v>8124400000</v>
      </c>
      <c r="R834" s="3">
        <v>5457700000</v>
      </c>
      <c r="S834" s="11">
        <v>16400000</v>
      </c>
    </row>
    <row r="835" spans="1:19" x14ac:dyDescent="0.35">
      <c r="A835" s="1" t="s">
        <v>134</v>
      </c>
      <c r="B835" s="1" t="str">
        <f t="shared" si="32"/>
        <v>Kotak Mahindra Bank</v>
      </c>
      <c r="C835">
        <v>76</v>
      </c>
      <c r="D835">
        <v>76</v>
      </c>
      <c r="E835">
        <v>179</v>
      </c>
      <c r="F835" s="2">
        <v>65938.399999999994</v>
      </c>
      <c r="G835" s="2">
        <v>56083.519999999997</v>
      </c>
      <c r="H835" s="2">
        <v>1545</v>
      </c>
      <c r="I835" s="2">
        <v>47939.64</v>
      </c>
      <c r="J835" s="2">
        <v>17998.759999999998</v>
      </c>
      <c r="K835" s="3">
        <v>17998.759999999998</v>
      </c>
      <c r="L835" s="3">
        <v>0</v>
      </c>
      <c r="M835" s="3">
        <v>8105.88</v>
      </c>
      <c r="N835" s="4" t="s">
        <v>138</v>
      </c>
      <c r="O835" s="3" t="str">
        <f t="shared" si="33"/>
        <v>Online</v>
      </c>
      <c r="P835" s="11">
        <v>11500000</v>
      </c>
      <c r="Q835" s="3">
        <v>8124400000</v>
      </c>
      <c r="R835" s="3">
        <v>5457700000</v>
      </c>
      <c r="S835" s="11">
        <v>16400000</v>
      </c>
    </row>
    <row r="836" spans="1:19" x14ac:dyDescent="0.35">
      <c r="A836" s="1" t="s">
        <v>130</v>
      </c>
      <c r="B836" s="1" t="str">
        <f t="shared" si="32"/>
        <v>Kotak Mahindra Bank</v>
      </c>
      <c r="C836">
        <v>96</v>
      </c>
      <c r="D836">
        <v>96</v>
      </c>
      <c r="E836">
        <v>208</v>
      </c>
      <c r="F836" s="2">
        <v>175755.5</v>
      </c>
      <c r="G836" s="2">
        <v>159559</v>
      </c>
      <c r="H836" s="2">
        <v>2325</v>
      </c>
      <c r="I836" s="2">
        <v>113269.5</v>
      </c>
      <c r="J836" s="2">
        <v>62486</v>
      </c>
      <c r="K836" s="3">
        <v>62486</v>
      </c>
      <c r="L836" s="3">
        <v>0</v>
      </c>
      <c r="M836" s="3">
        <v>13649.5</v>
      </c>
      <c r="N836" s="4" t="s">
        <v>138</v>
      </c>
      <c r="O836" s="3" t="str">
        <f t="shared" si="33"/>
        <v>Online</v>
      </c>
      <c r="P836" s="11">
        <v>11500000</v>
      </c>
      <c r="Q836" s="3">
        <v>8124400000</v>
      </c>
      <c r="R836" s="3">
        <v>5457700000</v>
      </c>
      <c r="S836" s="11">
        <v>16400000</v>
      </c>
    </row>
    <row r="837" spans="1:19" x14ac:dyDescent="0.35">
      <c r="A837" s="1" t="s">
        <v>38</v>
      </c>
      <c r="B837" s="1" t="str">
        <f t="shared" si="32"/>
        <v>Kotak Mahindra Bank</v>
      </c>
      <c r="C837">
        <v>22780</v>
      </c>
      <c r="D837">
        <v>0</v>
      </c>
      <c r="E837">
        <v>55946</v>
      </c>
      <c r="F837" s="2">
        <v>15143492.49</v>
      </c>
      <c r="G837" s="2">
        <v>854851.66</v>
      </c>
      <c r="H837" s="2">
        <v>14280900.67</v>
      </c>
      <c r="I837" s="2">
        <v>12127645.49</v>
      </c>
      <c r="J837" s="2">
        <v>3015847</v>
      </c>
      <c r="K837" s="3">
        <v>0</v>
      </c>
      <c r="L837" s="3">
        <v>3015847</v>
      </c>
      <c r="M837" s="3">
        <v>7566.16</v>
      </c>
      <c r="N837" s="4" t="s">
        <v>138</v>
      </c>
      <c r="O837" s="3" t="str">
        <f t="shared" si="33"/>
        <v>Other</v>
      </c>
      <c r="P837" s="11">
        <v>11500000</v>
      </c>
      <c r="Q837" s="3">
        <v>8124400000</v>
      </c>
      <c r="R837" s="3">
        <v>5457700000</v>
      </c>
      <c r="S837" s="11">
        <v>16400000</v>
      </c>
    </row>
    <row r="838" spans="1:19" x14ac:dyDescent="0.35">
      <c r="A838" s="1" t="s">
        <v>58</v>
      </c>
      <c r="B838" s="1" t="str">
        <f t="shared" si="32"/>
        <v>Kotak Mahindra Bank</v>
      </c>
      <c r="C838">
        <v>1883</v>
      </c>
      <c r="D838">
        <v>0</v>
      </c>
      <c r="E838">
        <v>4643</v>
      </c>
      <c r="F838" s="2">
        <v>1902801.45</v>
      </c>
      <c r="G838" s="2">
        <v>1702172.37</v>
      </c>
      <c r="H838" s="2">
        <v>488</v>
      </c>
      <c r="I838" s="2">
        <v>1880163.33</v>
      </c>
      <c r="J838" s="2">
        <v>22638</v>
      </c>
      <c r="K838" s="3">
        <v>0</v>
      </c>
      <c r="L838" s="3">
        <v>22638</v>
      </c>
      <c r="M838" s="3">
        <v>197197.08</v>
      </c>
      <c r="N838" s="4" t="s">
        <v>138</v>
      </c>
      <c r="O838" s="3" t="str">
        <f t="shared" si="33"/>
        <v>Other</v>
      </c>
      <c r="P838" s="11">
        <v>11500000</v>
      </c>
      <c r="Q838" s="3">
        <v>8124400000</v>
      </c>
      <c r="R838" s="3">
        <v>5457700000</v>
      </c>
      <c r="S838" s="11">
        <v>16400000</v>
      </c>
    </row>
    <row r="839" spans="1:19" x14ac:dyDescent="0.35">
      <c r="A839" s="1" t="s">
        <v>135</v>
      </c>
      <c r="B839" s="1" t="str">
        <f t="shared" si="32"/>
        <v>Kotak Mahindra Bank</v>
      </c>
      <c r="C839">
        <v>115</v>
      </c>
      <c r="D839">
        <v>115</v>
      </c>
      <c r="E839">
        <v>265</v>
      </c>
      <c r="F839" s="2">
        <v>297763.14</v>
      </c>
      <c r="G839" s="2">
        <v>278934</v>
      </c>
      <c r="H839" s="2">
        <v>0</v>
      </c>
      <c r="I839" s="2">
        <v>183625.14</v>
      </c>
      <c r="J839" s="2">
        <v>114138</v>
      </c>
      <c r="K839" s="3">
        <v>114138</v>
      </c>
      <c r="L839" s="3">
        <v>0</v>
      </c>
      <c r="M839" s="3">
        <v>18477.14</v>
      </c>
      <c r="N839" s="4" t="s">
        <v>138</v>
      </c>
      <c r="O839" s="3" t="str">
        <f t="shared" si="33"/>
        <v>Online</v>
      </c>
      <c r="P839" s="11">
        <v>11500000</v>
      </c>
      <c r="Q839" s="3">
        <v>8124400000</v>
      </c>
      <c r="R839" s="3">
        <v>5457700000</v>
      </c>
      <c r="S839" s="11">
        <v>16400000</v>
      </c>
    </row>
    <row r="840" spans="1:19" x14ac:dyDescent="0.35">
      <c r="A840" s="1" t="s">
        <v>114</v>
      </c>
      <c r="B840" s="1" t="str">
        <f t="shared" si="32"/>
        <v>State Bank of India</v>
      </c>
      <c r="C840">
        <v>2807</v>
      </c>
      <c r="D840">
        <v>0</v>
      </c>
      <c r="E840">
        <v>9219</v>
      </c>
      <c r="F840" s="2">
        <v>3352757.95</v>
      </c>
      <c r="G840" s="2">
        <v>3353028.7</v>
      </c>
      <c r="H840" s="2">
        <v>0</v>
      </c>
      <c r="I840" s="2">
        <v>3100450.95</v>
      </c>
      <c r="J840" s="2">
        <v>252307</v>
      </c>
      <c r="K840" s="3">
        <v>201845.6</v>
      </c>
      <c r="L840" s="3">
        <v>50461.4</v>
      </c>
      <c r="M840" s="3">
        <v>0</v>
      </c>
      <c r="N840" s="4" t="s">
        <v>138</v>
      </c>
      <c r="O840" s="3" t="str">
        <f t="shared" si="33"/>
        <v>Offline - Box Office</v>
      </c>
      <c r="P840" s="11">
        <v>11500000</v>
      </c>
      <c r="Q840" s="3">
        <v>8124400000</v>
      </c>
      <c r="R840" s="3">
        <v>5457700000</v>
      </c>
      <c r="S840" s="11">
        <v>16400000</v>
      </c>
    </row>
    <row r="841" spans="1:19" x14ac:dyDescent="0.35">
      <c r="A841" s="1" t="s">
        <v>115</v>
      </c>
      <c r="B841" s="1" t="str">
        <f t="shared" si="32"/>
        <v>State Bank of India</v>
      </c>
      <c r="C841">
        <v>6833</v>
      </c>
      <c r="D841">
        <v>0</v>
      </c>
      <c r="E841">
        <v>25038</v>
      </c>
      <c r="F841" s="2">
        <v>7639317.6200000001</v>
      </c>
      <c r="G841" s="2">
        <v>0</v>
      </c>
      <c r="H841" s="2">
        <v>7639317.6200000001</v>
      </c>
      <c r="I841" s="2">
        <v>7027420.6200000001</v>
      </c>
      <c r="J841" s="2">
        <v>611897</v>
      </c>
      <c r="K841" s="3">
        <v>489517.6</v>
      </c>
      <c r="L841" s="3">
        <v>122379.4</v>
      </c>
      <c r="M841" s="3">
        <v>0</v>
      </c>
      <c r="N841" s="4" t="s">
        <v>138</v>
      </c>
      <c r="O841" s="3" t="str">
        <f t="shared" si="33"/>
        <v>Offline - F&amp;B</v>
      </c>
      <c r="P841" s="11">
        <v>11500000</v>
      </c>
      <c r="Q841" s="3">
        <v>8124400000</v>
      </c>
      <c r="R841" s="3">
        <v>5457700000</v>
      </c>
      <c r="S841" s="11">
        <v>16400000</v>
      </c>
    </row>
    <row r="842" spans="1:19" x14ac:dyDescent="0.35">
      <c r="A842" s="1" t="s">
        <v>40</v>
      </c>
      <c r="B842" s="1" t="str">
        <f t="shared" si="32"/>
        <v>Standard Chartered Bank</v>
      </c>
      <c r="C842">
        <v>8</v>
      </c>
      <c r="D842">
        <v>8</v>
      </c>
      <c r="E842">
        <v>17</v>
      </c>
      <c r="F842" s="2">
        <v>5854.98</v>
      </c>
      <c r="G842" s="2">
        <v>5854.98</v>
      </c>
      <c r="H842" s="2">
        <v>0</v>
      </c>
      <c r="I842" s="2">
        <v>4254.9799999999996</v>
      </c>
      <c r="J842" s="2">
        <v>1600</v>
      </c>
      <c r="K842" s="3">
        <v>1600</v>
      </c>
      <c r="L842" s="3">
        <v>0</v>
      </c>
      <c r="M842" s="3">
        <v>0</v>
      </c>
      <c r="N842" s="4" t="s">
        <v>138</v>
      </c>
      <c r="O842" s="3" t="str">
        <f t="shared" si="33"/>
        <v>Offline - Box Office</v>
      </c>
      <c r="P842" s="11">
        <v>11500000</v>
      </c>
      <c r="Q842" s="3">
        <v>8124400000</v>
      </c>
      <c r="R842" s="3">
        <v>5457700000</v>
      </c>
      <c r="S842" s="11">
        <v>16400000</v>
      </c>
    </row>
    <row r="843" spans="1:19" x14ac:dyDescent="0.35">
      <c r="A843" s="1" t="s">
        <v>41</v>
      </c>
      <c r="B843" s="1" t="str">
        <f t="shared" si="32"/>
        <v>Standard Chartered Bank</v>
      </c>
      <c r="C843">
        <v>67</v>
      </c>
      <c r="D843">
        <v>67</v>
      </c>
      <c r="E843">
        <v>142</v>
      </c>
      <c r="F843" s="2">
        <v>47391.85</v>
      </c>
      <c r="G843" s="2">
        <v>41505.79</v>
      </c>
      <c r="H843" s="2">
        <v>0</v>
      </c>
      <c r="I843" s="2">
        <v>34240.15</v>
      </c>
      <c r="J843" s="2">
        <v>13151.7</v>
      </c>
      <c r="K843" s="3">
        <v>13151.7</v>
      </c>
      <c r="L843" s="3">
        <v>0</v>
      </c>
      <c r="M843" s="3">
        <v>5802.06</v>
      </c>
      <c r="N843" s="4" t="s">
        <v>138</v>
      </c>
      <c r="O843" s="3" t="str">
        <f t="shared" si="33"/>
        <v>Online</v>
      </c>
      <c r="P843" s="11">
        <v>11500000</v>
      </c>
      <c r="Q843" s="3">
        <v>8124400000</v>
      </c>
      <c r="R843" s="3">
        <v>5457700000</v>
      </c>
      <c r="S843" s="11">
        <v>16400000</v>
      </c>
    </row>
    <row r="844" spans="1:19" x14ac:dyDescent="0.35">
      <c r="A844" s="1" t="s">
        <v>140</v>
      </c>
      <c r="B844" s="1" t="str">
        <f t="shared" si="32"/>
        <v>Mastercard</v>
      </c>
      <c r="C844">
        <v>1</v>
      </c>
      <c r="D844">
        <v>0</v>
      </c>
      <c r="E844">
        <v>2</v>
      </c>
      <c r="F844" s="2">
        <v>1030</v>
      </c>
      <c r="G844" s="2">
        <v>0</v>
      </c>
      <c r="H844" s="2">
        <v>1030</v>
      </c>
      <c r="I844" s="2">
        <v>830</v>
      </c>
      <c r="J844" s="2">
        <v>200</v>
      </c>
      <c r="K844" s="3">
        <v>200</v>
      </c>
      <c r="L844" s="3">
        <v>0</v>
      </c>
      <c r="M844" s="3">
        <v>0</v>
      </c>
      <c r="N844" s="4" t="s">
        <v>138</v>
      </c>
      <c r="O844" s="3" t="str">
        <f t="shared" si="33"/>
        <v>Offline - F&amp;B</v>
      </c>
      <c r="P844" s="11">
        <v>11500000</v>
      </c>
      <c r="Q844" s="3">
        <v>8124400000</v>
      </c>
      <c r="R844" s="3">
        <v>5457700000</v>
      </c>
      <c r="S844" s="11">
        <v>16400000</v>
      </c>
    </row>
    <row r="845" spans="1:19" x14ac:dyDescent="0.35">
      <c r="A845" s="1" t="s">
        <v>141</v>
      </c>
      <c r="B845" s="1" t="str">
        <f t="shared" si="32"/>
        <v>Mastercard</v>
      </c>
      <c r="C845">
        <v>273</v>
      </c>
      <c r="D845">
        <v>0</v>
      </c>
      <c r="E845">
        <v>838</v>
      </c>
      <c r="F845" s="2">
        <v>401769.08</v>
      </c>
      <c r="G845" s="2">
        <v>401769.08</v>
      </c>
      <c r="H845" s="2">
        <v>0</v>
      </c>
      <c r="I845" s="2">
        <v>347327.08</v>
      </c>
      <c r="J845" s="2">
        <v>54442</v>
      </c>
      <c r="K845" s="3">
        <v>54442</v>
      </c>
      <c r="L845" s="3">
        <v>0</v>
      </c>
      <c r="M845" s="3">
        <v>0</v>
      </c>
      <c r="N845" s="4" t="s">
        <v>138</v>
      </c>
      <c r="O845" s="3" t="str">
        <f t="shared" si="33"/>
        <v>Offline - Box Office</v>
      </c>
      <c r="P845" s="11">
        <v>11500000</v>
      </c>
      <c r="Q845" s="3">
        <v>8124400000</v>
      </c>
      <c r="R845" s="3">
        <v>5457700000</v>
      </c>
      <c r="S845" s="11">
        <v>16400000</v>
      </c>
    </row>
    <row r="846" spans="1:19" x14ac:dyDescent="0.35">
      <c r="A846" s="1" t="s">
        <v>142</v>
      </c>
      <c r="B846" s="1" t="str">
        <f t="shared" si="32"/>
        <v>Mastercard</v>
      </c>
      <c r="C846">
        <v>1533</v>
      </c>
      <c r="D846">
        <v>0</v>
      </c>
      <c r="E846">
        <v>5837</v>
      </c>
      <c r="F846" s="2">
        <v>1896677.58</v>
      </c>
      <c r="G846" s="2">
        <v>0</v>
      </c>
      <c r="H846" s="2">
        <v>1896677.58</v>
      </c>
      <c r="I846" s="2">
        <v>1591390.58</v>
      </c>
      <c r="J846" s="2">
        <v>305287</v>
      </c>
      <c r="K846" s="3">
        <v>305287</v>
      </c>
      <c r="L846" s="3">
        <v>0</v>
      </c>
      <c r="M846" s="3">
        <v>0</v>
      </c>
      <c r="N846" s="4" t="s">
        <v>138</v>
      </c>
      <c r="O846" s="3" t="str">
        <f t="shared" si="33"/>
        <v>Offline - F&amp;B</v>
      </c>
      <c r="P846" s="11">
        <v>11500000</v>
      </c>
      <c r="Q846" s="3">
        <v>8124400000</v>
      </c>
      <c r="R846" s="3">
        <v>5457700000</v>
      </c>
      <c r="S846" s="11">
        <v>16400000</v>
      </c>
    </row>
    <row r="847" spans="1:19" x14ac:dyDescent="0.35">
      <c r="A847" s="1" t="s">
        <v>125</v>
      </c>
      <c r="B847" s="1" t="str">
        <f t="shared" si="32"/>
        <v>HDFC Bank</v>
      </c>
      <c r="C847">
        <v>10166</v>
      </c>
      <c r="D847">
        <v>0</v>
      </c>
      <c r="E847">
        <v>57185</v>
      </c>
      <c r="F847" s="2">
        <v>22468465.239999998</v>
      </c>
      <c r="G847" s="2">
        <v>9276856.3300000001</v>
      </c>
      <c r="H847" s="2">
        <v>12877483.93</v>
      </c>
      <c r="I847" s="2">
        <v>21543918.239999998</v>
      </c>
      <c r="J847" s="2">
        <v>924547</v>
      </c>
      <c r="K847" s="3">
        <v>0</v>
      </c>
      <c r="L847" s="3">
        <v>924547</v>
      </c>
      <c r="M847" s="3">
        <v>309511.14</v>
      </c>
      <c r="N847" s="4" t="s">
        <v>138</v>
      </c>
      <c r="O847" s="3" t="str">
        <f t="shared" si="33"/>
        <v>Other</v>
      </c>
      <c r="P847" s="11">
        <v>11500000</v>
      </c>
      <c r="Q847" s="3">
        <v>8124400000</v>
      </c>
      <c r="R847" s="3">
        <v>5457700000</v>
      </c>
      <c r="S847" s="11">
        <v>16400000</v>
      </c>
    </row>
    <row r="848" spans="1:19" x14ac:dyDescent="0.35">
      <c r="A848" s="1" t="s">
        <v>137</v>
      </c>
      <c r="B848" s="1" t="str">
        <f t="shared" si="32"/>
        <v>Axis Bank</v>
      </c>
      <c r="C848">
        <v>76</v>
      </c>
      <c r="D848">
        <v>0</v>
      </c>
      <c r="E848">
        <v>183</v>
      </c>
      <c r="F848" s="2">
        <v>72000.87</v>
      </c>
      <c r="G848" s="2">
        <v>61652.47</v>
      </c>
      <c r="H848" s="2">
        <v>1700</v>
      </c>
      <c r="I848" s="2">
        <v>55066.87</v>
      </c>
      <c r="J848" s="2">
        <v>16934</v>
      </c>
      <c r="K848" s="3">
        <v>10160.4</v>
      </c>
      <c r="L848" s="3">
        <v>6773.6</v>
      </c>
      <c r="M848" s="3">
        <v>8444.4</v>
      </c>
      <c r="N848" s="4" t="s">
        <v>143</v>
      </c>
      <c r="O848" s="3" t="str">
        <f t="shared" si="33"/>
        <v>Online</v>
      </c>
      <c r="P848" s="11">
        <v>8024000</v>
      </c>
      <c r="Q848" s="3">
        <v>5191700000</v>
      </c>
      <c r="R848" s="3">
        <v>3460800000</v>
      </c>
      <c r="S848" s="11">
        <v>11700000</v>
      </c>
    </row>
    <row r="849" spans="1:19" x14ac:dyDescent="0.35">
      <c r="A849" s="1" t="s">
        <v>91</v>
      </c>
      <c r="B849" s="1" t="str">
        <f t="shared" si="32"/>
        <v>American Express</v>
      </c>
      <c r="C849">
        <v>267</v>
      </c>
      <c r="D849">
        <v>267</v>
      </c>
      <c r="E849">
        <v>714</v>
      </c>
      <c r="F849" s="2">
        <v>397989.87</v>
      </c>
      <c r="G849" s="2">
        <v>397989.87</v>
      </c>
      <c r="H849" s="2">
        <v>0</v>
      </c>
      <c r="I849" s="2">
        <v>289804.46000000002</v>
      </c>
      <c r="J849" s="2">
        <v>108185.41</v>
      </c>
      <c r="K849" s="3">
        <v>54092.73</v>
      </c>
      <c r="L849" s="3">
        <v>54092.73</v>
      </c>
      <c r="M849" s="3">
        <v>0</v>
      </c>
      <c r="N849" s="4" t="s">
        <v>143</v>
      </c>
      <c r="O849" s="3" t="str">
        <f t="shared" si="33"/>
        <v>Offline - Box Office</v>
      </c>
      <c r="P849" s="11">
        <v>8024000</v>
      </c>
      <c r="Q849" s="3">
        <v>5191700000</v>
      </c>
      <c r="R849" s="3">
        <v>3460800000</v>
      </c>
      <c r="S849" s="11">
        <v>11700000</v>
      </c>
    </row>
    <row r="850" spans="1:19" x14ac:dyDescent="0.35">
      <c r="A850" s="1" t="s">
        <v>93</v>
      </c>
      <c r="B850" s="1" t="str">
        <f t="shared" si="32"/>
        <v>American Express</v>
      </c>
      <c r="C850">
        <v>1666</v>
      </c>
      <c r="D850">
        <v>1666</v>
      </c>
      <c r="E850">
        <v>4332</v>
      </c>
      <c r="F850" s="2">
        <v>2821845.29</v>
      </c>
      <c r="G850" s="2">
        <v>2524665.63</v>
      </c>
      <c r="H850" s="2">
        <v>34502</v>
      </c>
      <c r="I850" s="2">
        <v>2129462.0299999998</v>
      </c>
      <c r="J850" s="2">
        <v>692383.26</v>
      </c>
      <c r="K850" s="3">
        <v>346191.96</v>
      </c>
      <c r="L850" s="3">
        <v>346191.96</v>
      </c>
      <c r="M850" s="3">
        <v>257335.66</v>
      </c>
      <c r="N850" s="4" t="s">
        <v>143</v>
      </c>
      <c r="O850" s="3" t="str">
        <f t="shared" si="33"/>
        <v>Online</v>
      </c>
      <c r="P850" s="11">
        <v>8024000</v>
      </c>
      <c r="Q850" s="3">
        <v>5191700000</v>
      </c>
      <c r="R850" s="3">
        <v>3460800000</v>
      </c>
      <c r="S850" s="11">
        <v>11700000</v>
      </c>
    </row>
    <row r="851" spans="1:19" x14ac:dyDescent="0.35">
      <c r="A851" s="1" t="s">
        <v>43</v>
      </c>
      <c r="B851" s="1" t="str">
        <f t="shared" si="32"/>
        <v>Axis Bank</v>
      </c>
      <c r="C851">
        <v>23</v>
      </c>
      <c r="D851">
        <v>23</v>
      </c>
      <c r="E851">
        <v>60</v>
      </c>
      <c r="F851" s="2">
        <v>18758</v>
      </c>
      <c r="G851" s="2">
        <v>18758</v>
      </c>
      <c r="H851" s="2">
        <v>0</v>
      </c>
      <c r="I851" s="2">
        <v>14206.6</v>
      </c>
      <c r="J851" s="2">
        <v>4551.3999999999996</v>
      </c>
      <c r="K851" s="3">
        <v>4005.22</v>
      </c>
      <c r="L851" s="3">
        <v>546.17999999999995</v>
      </c>
      <c r="M851" s="3">
        <v>0</v>
      </c>
      <c r="N851" s="4" t="s">
        <v>143</v>
      </c>
      <c r="O851" s="3" t="str">
        <f t="shared" si="33"/>
        <v>Offline - Box Office</v>
      </c>
      <c r="P851" s="11">
        <v>8024000</v>
      </c>
      <c r="Q851" s="3">
        <v>5191700000</v>
      </c>
      <c r="R851" s="3">
        <v>3460800000</v>
      </c>
      <c r="S851" s="11">
        <v>11700000</v>
      </c>
    </row>
    <row r="852" spans="1:19" x14ac:dyDescent="0.35">
      <c r="A852" s="1" t="s">
        <v>23</v>
      </c>
      <c r="B852" s="1" t="str">
        <f t="shared" si="32"/>
        <v>Axis Bank</v>
      </c>
      <c r="C852">
        <v>36</v>
      </c>
      <c r="D852">
        <v>36</v>
      </c>
      <c r="E852">
        <v>89</v>
      </c>
      <c r="F852" s="2">
        <v>37232.480000000003</v>
      </c>
      <c r="G852" s="2">
        <v>32675.94</v>
      </c>
      <c r="H852" s="2">
        <v>440</v>
      </c>
      <c r="I852" s="2">
        <v>30256.28</v>
      </c>
      <c r="J852" s="2">
        <v>6976.2</v>
      </c>
      <c r="K852" s="3">
        <v>5929.77</v>
      </c>
      <c r="L852" s="3">
        <v>1046.43</v>
      </c>
      <c r="M852" s="3">
        <v>4036.54</v>
      </c>
      <c r="N852" s="4" t="s">
        <v>143</v>
      </c>
      <c r="O852" s="3" t="str">
        <f t="shared" si="33"/>
        <v>Online</v>
      </c>
      <c r="P852" s="11">
        <v>8024000</v>
      </c>
      <c r="Q852" s="3">
        <v>5191700000</v>
      </c>
      <c r="R852" s="3">
        <v>3460800000</v>
      </c>
      <c r="S852" s="11">
        <v>11700000</v>
      </c>
    </row>
    <row r="853" spans="1:19" x14ac:dyDescent="0.35">
      <c r="A853" s="1" t="s">
        <v>44</v>
      </c>
      <c r="B853" s="1" t="str">
        <f t="shared" si="32"/>
        <v>Axis Bank</v>
      </c>
      <c r="C853">
        <v>291</v>
      </c>
      <c r="D853">
        <v>291</v>
      </c>
      <c r="E853">
        <v>777</v>
      </c>
      <c r="F853" s="2">
        <v>208658.13</v>
      </c>
      <c r="G853" s="2">
        <v>208658.13</v>
      </c>
      <c r="H853" s="2">
        <v>0</v>
      </c>
      <c r="I853" s="2">
        <v>152816.76</v>
      </c>
      <c r="J853" s="2">
        <v>55841.37</v>
      </c>
      <c r="K853" s="3">
        <v>49140.28</v>
      </c>
      <c r="L853" s="3">
        <v>6701.09</v>
      </c>
      <c r="M853" s="3">
        <v>0</v>
      </c>
      <c r="N853" s="4" t="s">
        <v>143</v>
      </c>
      <c r="O853" s="3" t="str">
        <f t="shared" si="33"/>
        <v>Offline - Box Office</v>
      </c>
      <c r="P853" s="11">
        <v>8024000</v>
      </c>
      <c r="Q853" s="3">
        <v>5191700000</v>
      </c>
      <c r="R853" s="3">
        <v>3460800000</v>
      </c>
      <c r="S853" s="11">
        <v>11700000</v>
      </c>
    </row>
    <row r="854" spans="1:19" x14ac:dyDescent="0.35">
      <c r="A854" s="1" t="s">
        <v>24</v>
      </c>
      <c r="B854" s="1" t="str">
        <f t="shared" si="32"/>
        <v>Axis Bank</v>
      </c>
      <c r="C854">
        <v>1241</v>
      </c>
      <c r="D854">
        <v>1241</v>
      </c>
      <c r="E854">
        <v>2940</v>
      </c>
      <c r="F854" s="2">
        <v>916741.14</v>
      </c>
      <c r="G854" s="2">
        <v>793424.42</v>
      </c>
      <c r="H854" s="2">
        <v>5829</v>
      </c>
      <c r="I854" s="2">
        <v>677078.16</v>
      </c>
      <c r="J854" s="2">
        <v>239662.98</v>
      </c>
      <c r="K854" s="3">
        <v>203713.56</v>
      </c>
      <c r="L854" s="3">
        <v>35949.42</v>
      </c>
      <c r="M854" s="3">
        <v>114989.72</v>
      </c>
      <c r="N854" s="4" t="s">
        <v>143</v>
      </c>
      <c r="O854" s="3" t="str">
        <f t="shared" si="33"/>
        <v>Online</v>
      </c>
      <c r="P854" s="11">
        <v>8024000</v>
      </c>
      <c r="Q854" s="3">
        <v>5191700000</v>
      </c>
      <c r="R854" s="3">
        <v>3460800000</v>
      </c>
      <c r="S854" s="11">
        <v>11700000</v>
      </c>
    </row>
    <row r="855" spans="1:19" x14ac:dyDescent="0.35">
      <c r="A855" s="1" t="s">
        <v>139</v>
      </c>
      <c r="B855" s="1" t="str">
        <f t="shared" ref="B855:B918" si="34">IF(ISNUMBER(SEARCH("AXIS",A855)),"Axis Bank",
IF(ISNUMBER(SEARCH("HDFC",A855)),"HDFC Bank",
IF(ISNUMBER(SEARCH("ICICI",A855)),"ICICI Bank",
IF(ISNUMBER(SEARCH("AU",A855)),"AU Bank",
IF(ISNUMBER(SEARCH("KOTAK",A855)),"Kotak Mahindra Bank",
IF(ISNUMBER(SEARCH("SBI",A855)),"State Bank of India",
IF(ISNUMBER(SEARCH("HSBC",A855)),"HSBC",
IF(ISNUMBER(SEARCH("DBS",A855)),"DBS Bank",
IF(ISNUMBER(SEARCH("SCAPIA",A855)),"Scapia",
IF(ISNUMBER(SEARCH("STANDARD CHARTERED",A855)),"Standard Chartered Bank",
IF(ISNUMBER(SEARCH("IDBI",A855)),"IDBI Bank",
IF(ISNUMBER(SEARCH("J&amp;K",A855)),"J&amp;K Bank",
IF(ISNUMBER(SEARCH("JAMMU",A855)),"J&amp;K Bank",
IF(ISNUMBER(SEARCH("FEDERAL",A855)),"Federal Bank",
IF(ISNUMBER(SEARCH("BOBCARD",A855)),"BOB Card",
IF(ISNUMBER(SEARCH("BANK OF BARODA",A855)),"BOB Card",
IF(ISNUMBER(SEARCH("AMEX",A855)),"American Express",
IF(ISNUMBER(SEARCH("PLATINUM",A855)),"American Express",
IF(ISNUMBER(SEARCH("CENTURION",A855)),"American Express",
IF(ISNUMBER(SEARCH("VISA",A855)),"Visa",
IF(ISNUMBER(SEARCH("MASTERCARD",A855)),"Mastercard",
"")))))))))))))))))))))</f>
        <v>BOB Card</v>
      </c>
      <c r="C855">
        <v>1</v>
      </c>
      <c r="D855">
        <v>0</v>
      </c>
      <c r="E855">
        <v>2</v>
      </c>
      <c r="F855" s="2">
        <v>800</v>
      </c>
      <c r="G855" s="2">
        <v>0</v>
      </c>
      <c r="H855" s="2">
        <v>800</v>
      </c>
      <c r="I855" s="2">
        <v>720</v>
      </c>
      <c r="J855" s="2">
        <v>80</v>
      </c>
      <c r="K855" s="3">
        <v>56</v>
      </c>
      <c r="L855" s="3">
        <v>24</v>
      </c>
      <c r="M855" s="3">
        <v>0</v>
      </c>
      <c r="N855" s="4" t="s">
        <v>143</v>
      </c>
      <c r="O855" s="3" t="str">
        <f t="shared" si="33"/>
        <v>Offline - F&amp;B</v>
      </c>
      <c r="P855" s="11">
        <v>8024000</v>
      </c>
      <c r="Q855" s="3">
        <v>5191700000</v>
      </c>
      <c r="R855" s="3">
        <v>3460800000</v>
      </c>
      <c r="S855" s="11">
        <v>11700000</v>
      </c>
    </row>
    <row r="856" spans="1:19" x14ac:dyDescent="0.35">
      <c r="A856" s="1" t="s">
        <v>54</v>
      </c>
      <c r="B856" s="1" t="str">
        <f t="shared" si="34"/>
        <v>BOB Card</v>
      </c>
      <c r="C856">
        <v>70</v>
      </c>
      <c r="D856">
        <v>0</v>
      </c>
      <c r="E856">
        <v>157</v>
      </c>
      <c r="F856" s="2">
        <v>69533.05</v>
      </c>
      <c r="G856" s="2">
        <v>57252.99</v>
      </c>
      <c r="H856" s="2">
        <v>10779</v>
      </c>
      <c r="I856" s="2">
        <v>63694.05</v>
      </c>
      <c r="J856" s="2">
        <v>5839</v>
      </c>
      <c r="K856" s="3">
        <v>4087.3</v>
      </c>
      <c r="L856" s="3">
        <v>1751.7</v>
      </c>
      <c r="M856" s="3">
        <v>1495.06</v>
      </c>
      <c r="N856" s="4" t="s">
        <v>143</v>
      </c>
      <c r="O856" s="3" t="str">
        <f t="shared" si="33"/>
        <v>Online</v>
      </c>
      <c r="P856" s="11">
        <v>8024000</v>
      </c>
      <c r="Q856" s="3">
        <v>5191700000</v>
      </c>
      <c r="R856" s="3">
        <v>3460800000</v>
      </c>
      <c r="S856" s="11">
        <v>11700000</v>
      </c>
    </row>
    <row r="857" spans="1:19" x14ac:dyDescent="0.35">
      <c r="A857" s="1" t="s">
        <v>55</v>
      </c>
      <c r="B857" s="1" t="str">
        <f t="shared" si="34"/>
        <v>BOB Card</v>
      </c>
      <c r="C857">
        <v>728</v>
      </c>
      <c r="D857">
        <v>0</v>
      </c>
      <c r="E857">
        <v>2324</v>
      </c>
      <c r="F857" s="2">
        <v>685775.09</v>
      </c>
      <c r="G857" s="2">
        <v>0</v>
      </c>
      <c r="H857" s="2">
        <v>685775.09</v>
      </c>
      <c r="I857" s="2">
        <v>619152.09</v>
      </c>
      <c r="J857" s="2">
        <v>66623</v>
      </c>
      <c r="K857" s="3">
        <v>46636.1</v>
      </c>
      <c r="L857" s="3">
        <v>19986.900000000001</v>
      </c>
      <c r="M857" s="3">
        <v>0</v>
      </c>
      <c r="N857" s="4" t="s">
        <v>143</v>
      </c>
      <c r="O857" s="3" t="str">
        <f t="shared" si="33"/>
        <v>Offline - F&amp;B</v>
      </c>
      <c r="P857" s="11">
        <v>8024000</v>
      </c>
      <c r="Q857" s="3">
        <v>5191700000</v>
      </c>
      <c r="R857" s="3">
        <v>3460800000</v>
      </c>
      <c r="S857" s="11">
        <v>11700000</v>
      </c>
    </row>
    <row r="858" spans="1:19" x14ac:dyDescent="0.35">
      <c r="A858" s="1" t="s">
        <v>119</v>
      </c>
      <c r="B858" s="1" t="str">
        <f t="shared" si="34"/>
        <v>AU Bank</v>
      </c>
      <c r="C858">
        <v>34</v>
      </c>
      <c r="D858">
        <v>34</v>
      </c>
      <c r="E858">
        <v>91</v>
      </c>
      <c r="F858" s="2">
        <v>29209.4</v>
      </c>
      <c r="G858" s="2">
        <v>29209.4</v>
      </c>
      <c r="H858" s="2">
        <v>0</v>
      </c>
      <c r="I858" s="2">
        <v>21026.6</v>
      </c>
      <c r="J858" s="2">
        <v>8182.8</v>
      </c>
      <c r="K858" s="3">
        <v>5727.96</v>
      </c>
      <c r="L858" s="3">
        <v>2454.84</v>
      </c>
      <c r="M858" s="3">
        <v>0</v>
      </c>
      <c r="N858" s="4" t="s">
        <v>143</v>
      </c>
      <c r="O858" s="3" t="str">
        <f t="shared" si="33"/>
        <v>Offline - Box Office</v>
      </c>
      <c r="P858" s="11">
        <v>8024000</v>
      </c>
      <c r="Q858" s="3">
        <v>5191700000</v>
      </c>
      <c r="R858" s="3">
        <v>3460800000</v>
      </c>
      <c r="S858" s="11">
        <v>11700000</v>
      </c>
    </row>
    <row r="859" spans="1:19" x14ac:dyDescent="0.35">
      <c r="A859" s="1" t="s">
        <v>120</v>
      </c>
      <c r="B859" s="1" t="str">
        <f t="shared" si="34"/>
        <v>AU Bank</v>
      </c>
      <c r="C859">
        <v>37</v>
      </c>
      <c r="D859">
        <v>37</v>
      </c>
      <c r="E859">
        <v>94</v>
      </c>
      <c r="F859" s="2">
        <v>36045</v>
      </c>
      <c r="G859" s="2">
        <v>30827.599999999999</v>
      </c>
      <c r="H859" s="2">
        <v>813</v>
      </c>
      <c r="I859" s="2">
        <v>27336.2</v>
      </c>
      <c r="J859" s="2">
        <v>8708.7999999999993</v>
      </c>
      <c r="K859" s="3">
        <v>6096.16</v>
      </c>
      <c r="L859" s="3">
        <v>2612.64</v>
      </c>
      <c r="M859" s="3">
        <v>4300.3999999999996</v>
      </c>
      <c r="N859" s="4" t="s">
        <v>143</v>
      </c>
      <c r="O859" s="3" t="str">
        <f t="shared" si="33"/>
        <v>Online</v>
      </c>
      <c r="P859" s="11">
        <v>8024000</v>
      </c>
      <c r="Q859" s="3">
        <v>5191700000</v>
      </c>
      <c r="R859" s="3">
        <v>3460800000</v>
      </c>
      <c r="S859" s="11">
        <v>11700000</v>
      </c>
    </row>
    <row r="860" spans="1:19" x14ac:dyDescent="0.35">
      <c r="A860" s="1" t="s">
        <v>27</v>
      </c>
      <c r="B860" s="1" t="str">
        <f t="shared" si="34"/>
        <v>Federal Bank</v>
      </c>
      <c r="C860">
        <v>75</v>
      </c>
      <c r="D860">
        <v>75</v>
      </c>
      <c r="E860">
        <v>217</v>
      </c>
      <c r="F860" s="2">
        <v>61819.95</v>
      </c>
      <c r="G860" s="2">
        <v>61819.95</v>
      </c>
      <c r="H860" s="2">
        <v>0</v>
      </c>
      <c r="I860" s="2">
        <v>54327.95</v>
      </c>
      <c r="J860" s="2">
        <v>7492</v>
      </c>
      <c r="K860" s="3">
        <v>7492</v>
      </c>
      <c r="L860" s="3">
        <v>0</v>
      </c>
      <c r="M860" s="3">
        <v>0</v>
      </c>
      <c r="N860" s="4" t="s">
        <v>143</v>
      </c>
      <c r="O860" s="3" t="str">
        <f t="shared" si="33"/>
        <v>Offline - Box Office</v>
      </c>
      <c r="P860" s="11">
        <v>8024000</v>
      </c>
      <c r="Q860" s="3">
        <v>5191700000</v>
      </c>
      <c r="R860" s="3">
        <v>3460800000</v>
      </c>
      <c r="S860" s="11">
        <v>11700000</v>
      </c>
    </row>
    <row r="861" spans="1:19" x14ac:dyDescent="0.35">
      <c r="A861" s="1" t="s">
        <v>28</v>
      </c>
      <c r="B861" s="1" t="str">
        <f t="shared" si="34"/>
        <v>Federal Bank</v>
      </c>
      <c r="C861">
        <v>126</v>
      </c>
      <c r="D861">
        <v>126</v>
      </c>
      <c r="E861">
        <v>335</v>
      </c>
      <c r="F861" s="2">
        <v>107698.09</v>
      </c>
      <c r="G861" s="2">
        <v>92249.77</v>
      </c>
      <c r="H861" s="2">
        <v>759</v>
      </c>
      <c r="I861" s="2">
        <v>95167.74</v>
      </c>
      <c r="J861" s="2">
        <v>12530.35</v>
      </c>
      <c r="K861" s="3">
        <v>12530.35</v>
      </c>
      <c r="L861" s="3">
        <v>0</v>
      </c>
      <c r="M861" s="3">
        <v>14393.32</v>
      </c>
      <c r="N861" s="4" t="s">
        <v>143</v>
      </c>
      <c r="O861" s="3" t="str">
        <f t="shared" si="33"/>
        <v>Online</v>
      </c>
      <c r="P861" s="11">
        <v>8024000</v>
      </c>
      <c r="Q861" s="3">
        <v>5191700000</v>
      </c>
      <c r="R861" s="3">
        <v>3460800000</v>
      </c>
      <c r="S861" s="11">
        <v>11700000</v>
      </c>
    </row>
    <row r="862" spans="1:19" x14ac:dyDescent="0.35">
      <c r="A862" s="1" t="s">
        <v>29</v>
      </c>
      <c r="B862" s="1" t="str">
        <f t="shared" si="34"/>
        <v>Federal Bank</v>
      </c>
      <c r="C862">
        <v>248</v>
      </c>
      <c r="D862">
        <v>248</v>
      </c>
      <c r="E862">
        <v>705</v>
      </c>
      <c r="F862" s="2">
        <v>186728.61</v>
      </c>
      <c r="G862" s="2">
        <v>186728.61</v>
      </c>
      <c r="H862" s="2">
        <v>0</v>
      </c>
      <c r="I862" s="2">
        <v>161959.79999999999</v>
      </c>
      <c r="J862" s="2">
        <v>24768.81</v>
      </c>
      <c r="K862" s="3">
        <v>24768.81</v>
      </c>
      <c r="L862" s="3">
        <v>0</v>
      </c>
      <c r="M862" s="3">
        <v>0</v>
      </c>
      <c r="N862" s="4" t="s">
        <v>143</v>
      </c>
      <c r="O862" s="3" t="str">
        <f t="shared" si="33"/>
        <v>Offline - Box Office</v>
      </c>
      <c r="P862" s="11">
        <v>8024000</v>
      </c>
      <c r="Q862" s="3">
        <v>5191700000</v>
      </c>
      <c r="R862" s="3">
        <v>3460800000</v>
      </c>
      <c r="S862" s="11">
        <v>11700000</v>
      </c>
    </row>
    <row r="863" spans="1:19" x14ac:dyDescent="0.35">
      <c r="A863" s="1" t="s">
        <v>30</v>
      </c>
      <c r="B863" s="1" t="str">
        <f t="shared" si="34"/>
        <v>Federal Bank</v>
      </c>
      <c r="C863">
        <v>336</v>
      </c>
      <c r="D863">
        <v>336</v>
      </c>
      <c r="E863">
        <v>897</v>
      </c>
      <c r="F863" s="2">
        <v>260734.72</v>
      </c>
      <c r="G863" s="2">
        <v>219135.1</v>
      </c>
      <c r="H863" s="2">
        <v>4980</v>
      </c>
      <c r="I863" s="2">
        <v>227522.39</v>
      </c>
      <c r="J863" s="2">
        <v>33212.33</v>
      </c>
      <c r="K863" s="3">
        <v>33212.33</v>
      </c>
      <c r="L863" s="3">
        <v>0</v>
      </c>
      <c r="M863" s="3">
        <v>35823.620000000003</v>
      </c>
      <c r="N863" s="4" t="s">
        <v>143</v>
      </c>
      <c r="O863" s="3" t="str">
        <f t="shared" si="33"/>
        <v>Online</v>
      </c>
      <c r="P863" s="11">
        <v>8024000</v>
      </c>
      <c r="Q863" s="3">
        <v>5191700000</v>
      </c>
      <c r="R863" s="3">
        <v>3460800000</v>
      </c>
      <c r="S863" s="11">
        <v>11700000</v>
      </c>
    </row>
    <row r="864" spans="1:19" x14ac:dyDescent="0.35">
      <c r="A864" s="1" t="s">
        <v>121</v>
      </c>
      <c r="B864" s="1" t="str">
        <f t="shared" si="34"/>
        <v>AU Bank</v>
      </c>
      <c r="C864">
        <v>151</v>
      </c>
      <c r="D864">
        <v>0</v>
      </c>
      <c r="E864">
        <v>493</v>
      </c>
      <c r="F864" s="2">
        <v>147692.4</v>
      </c>
      <c r="G864" s="2">
        <v>147692.4</v>
      </c>
      <c r="H864" s="2">
        <v>0</v>
      </c>
      <c r="I864" s="2">
        <v>126724.4</v>
      </c>
      <c r="J864" s="2">
        <v>20968</v>
      </c>
      <c r="K864" s="3">
        <v>14677.6</v>
      </c>
      <c r="L864" s="3">
        <v>6290.4</v>
      </c>
      <c r="M864" s="3">
        <v>0</v>
      </c>
      <c r="N864" s="4" t="s">
        <v>143</v>
      </c>
      <c r="O864" s="3" t="str">
        <f t="shared" si="33"/>
        <v>Offline - Box Office</v>
      </c>
      <c r="P864" s="11">
        <v>8024000</v>
      </c>
      <c r="Q864" s="3">
        <v>5191700000</v>
      </c>
      <c r="R864" s="3">
        <v>3460800000</v>
      </c>
      <c r="S864" s="11">
        <v>11700000</v>
      </c>
    </row>
    <row r="865" spans="1:19" x14ac:dyDescent="0.35">
      <c r="A865" s="1" t="s">
        <v>122</v>
      </c>
      <c r="B865" s="1" t="str">
        <f t="shared" si="34"/>
        <v>AU Bank</v>
      </c>
      <c r="C865">
        <v>58</v>
      </c>
      <c r="D865">
        <v>0</v>
      </c>
      <c r="E865">
        <v>166</v>
      </c>
      <c r="F865" s="2">
        <v>62809.32</v>
      </c>
      <c r="G865" s="2">
        <v>54827.92</v>
      </c>
      <c r="H865" s="2">
        <v>0</v>
      </c>
      <c r="I865" s="2">
        <v>54839.32</v>
      </c>
      <c r="J865" s="2">
        <v>7970</v>
      </c>
      <c r="K865" s="3">
        <v>5579</v>
      </c>
      <c r="L865" s="3">
        <v>2391</v>
      </c>
      <c r="M865" s="3">
        <v>7781.4</v>
      </c>
      <c r="N865" s="4" t="s">
        <v>143</v>
      </c>
      <c r="O865" s="3" t="str">
        <f t="shared" si="33"/>
        <v>Online</v>
      </c>
      <c r="P865" s="11">
        <v>8024000</v>
      </c>
      <c r="Q865" s="3">
        <v>5191700000</v>
      </c>
      <c r="R865" s="3">
        <v>3460800000</v>
      </c>
      <c r="S865" s="11">
        <v>11700000</v>
      </c>
    </row>
    <row r="866" spans="1:19" x14ac:dyDescent="0.35">
      <c r="A866" s="1" t="s">
        <v>123</v>
      </c>
      <c r="B866" s="1" t="str">
        <f t="shared" si="34"/>
        <v>AU Bank</v>
      </c>
      <c r="C866">
        <v>165</v>
      </c>
      <c r="D866">
        <v>0</v>
      </c>
      <c r="E866">
        <v>521</v>
      </c>
      <c r="F866" s="2">
        <v>159626.85</v>
      </c>
      <c r="G866" s="2">
        <v>159626.85</v>
      </c>
      <c r="H866" s="2">
        <v>0</v>
      </c>
      <c r="I866" s="2">
        <v>143126.85</v>
      </c>
      <c r="J866" s="2">
        <v>16500</v>
      </c>
      <c r="K866" s="3">
        <v>11550</v>
      </c>
      <c r="L866" s="3">
        <v>4950</v>
      </c>
      <c r="M866" s="3">
        <v>0</v>
      </c>
      <c r="N866" s="4" t="s">
        <v>143</v>
      </c>
      <c r="O866" s="3" t="str">
        <f t="shared" si="33"/>
        <v>Offline - Box Office</v>
      </c>
      <c r="P866" s="11">
        <v>8024000</v>
      </c>
      <c r="Q866" s="3">
        <v>5191700000</v>
      </c>
      <c r="R866" s="3">
        <v>3460800000</v>
      </c>
      <c r="S866" s="11">
        <v>11700000</v>
      </c>
    </row>
    <row r="867" spans="1:19" x14ac:dyDescent="0.35">
      <c r="A867" s="1" t="s">
        <v>124</v>
      </c>
      <c r="B867" s="1" t="str">
        <f t="shared" si="34"/>
        <v>AU Bank</v>
      </c>
      <c r="C867">
        <v>40</v>
      </c>
      <c r="D867">
        <v>0</v>
      </c>
      <c r="E867">
        <v>140</v>
      </c>
      <c r="F867" s="2">
        <v>49398.78</v>
      </c>
      <c r="G867" s="2">
        <v>43113</v>
      </c>
      <c r="H867" s="2">
        <v>0</v>
      </c>
      <c r="I867" s="2">
        <v>45398.78</v>
      </c>
      <c r="J867" s="2">
        <v>4000</v>
      </c>
      <c r="K867" s="3">
        <v>2800</v>
      </c>
      <c r="L867" s="3">
        <v>1200</v>
      </c>
      <c r="M867" s="3">
        <v>6177.78</v>
      </c>
      <c r="N867" s="4" t="s">
        <v>143</v>
      </c>
      <c r="O867" s="3" t="str">
        <f t="shared" si="33"/>
        <v>Online</v>
      </c>
      <c r="P867" s="11">
        <v>8024000</v>
      </c>
      <c r="Q867" s="3">
        <v>5191700000</v>
      </c>
      <c r="R867" s="3">
        <v>3460800000</v>
      </c>
      <c r="S867" s="11">
        <v>11700000</v>
      </c>
    </row>
    <row r="868" spans="1:19" x14ac:dyDescent="0.35">
      <c r="A868" s="1" t="s">
        <v>133</v>
      </c>
      <c r="B868" s="1" t="str">
        <f t="shared" si="34"/>
        <v>HDFC Bank</v>
      </c>
      <c r="C868">
        <v>122</v>
      </c>
      <c r="D868">
        <v>0</v>
      </c>
      <c r="E868">
        <v>150</v>
      </c>
      <c r="F868" s="2">
        <v>99780</v>
      </c>
      <c r="G868" s="2">
        <v>0</v>
      </c>
      <c r="H868" s="2">
        <v>99780</v>
      </c>
      <c r="I868" s="2">
        <v>87580</v>
      </c>
      <c r="J868" s="2">
        <v>12200</v>
      </c>
      <c r="K868" s="3">
        <v>12200</v>
      </c>
      <c r="L868" s="3">
        <v>0</v>
      </c>
      <c r="M868" s="3">
        <v>0</v>
      </c>
      <c r="N868" s="4" t="s">
        <v>143</v>
      </c>
      <c r="O868" s="3" t="str">
        <f t="shared" si="33"/>
        <v>Offline - F&amp;B</v>
      </c>
      <c r="P868" s="11">
        <v>8024000</v>
      </c>
      <c r="Q868" s="3">
        <v>5191700000</v>
      </c>
      <c r="R868" s="3">
        <v>3460800000</v>
      </c>
      <c r="S868" s="11">
        <v>11700000</v>
      </c>
    </row>
    <row r="869" spans="1:19" x14ac:dyDescent="0.35">
      <c r="A869" s="1" t="s">
        <v>32</v>
      </c>
      <c r="B869" s="1" t="str">
        <f t="shared" si="34"/>
        <v>ICICI Bank</v>
      </c>
      <c r="C869">
        <v>3046</v>
      </c>
      <c r="D869">
        <v>0</v>
      </c>
      <c r="E869">
        <v>9015</v>
      </c>
      <c r="F869" s="2">
        <v>2502229.91</v>
      </c>
      <c r="G869" s="2">
        <v>2502229.91</v>
      </c>
      <c r="H869" s="2">
        <v>0</v>
      </c>
      <c r="I869" s="2">
        <v>2182520.91</v>
      </c>
      <c r="J869" s="2">
        <v>319709</v>
      </c>
      <c r="K869" s="3">
        <v>281343.92</v>
      </c>
      <c r="L869" s="3">
        <v>38365.08</v>
      </c>
      <c r="M869" s="3">
        <v>0</v>
      </c>
      <c r="N869" s="4" t="s">
        <v>143</v>
      </c>
      <c r="O869" s="3" t="str">
        <f t="shared" si="33"/>
        <v>Offline - Box Office</v>
      </c>
      <c r="P869" s="11">
        <v>8024000</v>
      </c>
      <c r="Q869" s="3">
        <v>5191700000</v>
      </c>
      <c r="R869" s="3">
        <v>3460800000</v>
      </c>
      <c r="S869" s="11">
        <v>11700000</v>
      </c>
    </row>
    <row r="870" spans="1:19" x14ac:dyDescent="0.35">
      <c r="A870" s="1" t="s">
        <v>33</v>
      </c>
      <c r="B870" s="1" t="str">
        <f t="shared" si="34"/>
        <v>ICICI Bank</v>
      </c>
      <c r="C870">
        <v>1207</v>
      </c>
      <c r="D870">
        <v>0</v>
      </c>
      <c r="E870">
        <v>3473</v>
      </c>
      <c r="F870" s="2">
        <v>1184404.18</v>
      </c>
      <c r="G870" s="2">
        <v>1026432.74</v>
      </c>
      <c r="H870" s="2">
        <v>13171</v>
      </c>
      <c r="I870" s="2">
        <v>1051520.18</v>
      </c>
      <c r="J870" s="2">
        <v>132884</v>
      </c>
      <c r="K870" s="3">
        <v>112951.4</v>
      </c>
      <c r="L870" s="3">
        <v>19932.599999999999</v>
      </c>
      <c r="M870" s="3">
        <v>141598.44</v>
      </c>
      <c r="N870" s="4" t="s">
        <v>143</v>
      </c>
      <c r="O870" s="3" t="str">
        <f t="shared" si="33"/>
        <v>Online</v>
      </c>
      <c r="P870" s="11">
        <v>8024000</v>
      </c>
      <c r="Q870" s="3">
        <v>5191700000</v>
      </c>
      <c r="R870" s="3">
        <v>3460800000</v>
      </c>
      <c r="S870" s="11">
        <v>11700000</v>
      </c>
    </row>
    <row r="871" spans="1:19" x14ac:dyDescent="0.35">
      <c r="A871" s="1" t="s">
        <v>34</v>
      </c>
      <c r="B871" s="1" t="str">
        <f t="shared" si="34"/>
        <v>ICICI Bank</v>
      </c>
      <c r="C871">
        <v>370</v>
      </c>
      <c r="D871">
        <v>0</v>
      </c>
      <c r="E871">
        <v>1010</v>
      </c>
      <c r="F871" s="2">
        <v>299645.89</v>
      </c>
      <c r="G871" s="2">
        <v>299645.89</v>
      </c>
      <c r="H871" s="2">
        <v>0</v>
      </c>
      <c r="I871" s="2">
        <v>280085.89</v>
      </c>
      <c r="J871" s="2">
        <v>19560</v>
      </c>
      <c r="K871" s="3">
        <v>17212.8</v>
      </c>
      <c r="L871" s="3">
        <v>2347.1999999999998</v>
      </c>
      <c r="M871" s="3">
        <v>0</v>
      </c>
      <c r="N871" s="4" t="s">
        <v>143</v>
      </c>
      <c r="O871" s="3" t="str">
        <f t="shared" si="33"/>
        <v>Offline - Box Office</v>
      </c>
      <c r="P871" s="11">
        <v>8024000</v>
      </c>
      <c r="Q871" s="3">
        <v>5191700000</v>
      </c>
      <c r="R871" s="3">
        <v>3460800000</v>
      </c>
      <c r="S871" s="11">
        <v>11700000</v>
      </c>
    </row>
    <row r="872" spans="1:19" x14ac:dyDescent="0.35">
      <c r="A872" s="1" t="s">
        <v>35</v>
      </c>
      <c r="B872" s="1" t="str">
        <f t="shared" si="34"/>
        <v>ICICI Bank</v>
      </c>
      <c r="C872">
        <v>99</v>
      </c>
      <c r="D872">
        <v>0</v>
      </c>
      <c r="E872">
        <v>275</v>
      </c>
      <c r="F872" s="2">
        <v>104188.71</v>
      </c>
      <c r="G872" s="2">
        <v>90621.71</v>
      </c>
      <c r="H872" s="2">
        <v>1670</v>
      </c>
      <c r="I872" s="2">
        <v>98638.71</v>
      </c>
      <c r="J872" s="2">
        <v>5550</v>
      </c>
      <c r="K872" s="3">
        <v>4717.5</v>
      </c>
      <c r="L872" s="3">
        <v>832.5</v>
      </c>
      <c r="M872" s="3">
        <v>11623</v>
      </c>
      <c r="N872" s="4" t="s">
        <v>143</v>
      </c>
      <c r="O872" s="3" t="str">
        <f t="shared" si="33"/>
        <v>Online</v>
      </c>
      <c r="P872" s="11">
        <v>8024000</v>
      </c>
      <c r="Q872" s="3">
        <v>5191700000</v>
      </c>
      <c r="R872" s="3">
        <v>3460800000</v>
      </c>
      <c r="S872" s="11">
        <v>11700000</v>
      </c>
    </row>
    <row r="873" spans="1:19" x14ac:dyDescent="0.35">
      <c r="A873" s="1" t="s">
        <v>48</v>
      </c>
      <c r="B873" s="1" t="str">
        <f t="shared" si="34"/>
        <v>IDBI Bank</v>
      </c>
      <c r="C873">
        <v>294</v>
      </c>
      <c r="D873">
        <v>0</v>
      </c>
      <c r="E873">
        <v>741</v>
      </c>
      <c r="F873" s="2">
        <v>209228.41</v>
      </c>
      <c r="G873" s="2">
        <v>209228.41</v>
      </c>
      <c r="H873" s="2">
        <v>0</v>
      </c>
      <c r="I873" s="2">
        <v>175635.41</v>
      </c>
      <c r="J873" s="2">
        <v>33593</v>
      </c>
      <c r="K873" s="3">
        <v>33593</v>
      </c>
      <c r="L873" s="3">
        <v>0</v>
      </c>
      <c r="M873" s="3">
        <v>0</v>
      </c>
      <c r="N873" s="4" t="s">
        <v>143</v>
      </c>
      <c r="O873" s="3" t="str">
        <f t="shared" si="33"/>
        <v>Offline - Box Office</v>
      </c>
      <c r="P873" s="11">
        <v>8024000</v>
      </c>
      <c r="Q873" s="3">
        <v>5191700000</v>
      </c>
      <c r="R873" s="3">
        <v>3460800000</v>
      </c>
      <c r="S873" s="11">
        <v>11700000</v>
      </c>
    </row>
    <row r="874" spans="1:19" x14ac:dyDescent="0.35">
      <c r="A874" s="1" t="s">
        <v>37</v>
      </c>
      <c r="B874" s="1" t="str">
        <f t="shared" si="34"/>
        <v>IDBI Bank</v>
      </c>
      <c r="C874">
        <v>331</v>
      </c>
      <c r="D874">
        <v>0</v>
      </c>
      <c r="E874">
        <v>774</v>
      </c>
      <c r="F874" s="2">
        <v>260060.72</v>
      </c>
      <c r="G874" s="2">
        <v>223330.12</v>
      </c>
      <c r="H874" s="2">
        <v>6251</v>
      </c>
      <c r="I874" s="2">
        <v>220181.72</v>
      </c>
      <c r="J874" s="2">
        <v>39879</v>
      </c>
      <c r="K874" s="3">
        <v>39879</v>
      </c>
      <c r="L874" s="3">
        <v>0</v>
      </c>
      <c r="M874" s="3">
        <v>29873.599999999999</v>
      </c>
      <c r="N874" s="4" t="s">
        <v>143</v>
      </c>
      <c r="O874" s="3" t="str">
        <f t="shared" si="33"/>
        <v>Online</v>
      </c>
      <c r="P874" s="11">
        <v>8024000</v>
      </c>
      <c r="Q874" s="3">
        <v>5191700000</v>
      </c>
      <c r="R874" s="3">
        <v>3460800000</v>
      </c>
      <c r="S874" s="11">
        <v>11700000</v>
      </c>
    </row>
    <row r="875" spans="1:19" x14ac:dyDescent="0.35">
      <c r="A875" s="1" t="s">
        <v>144</v>
      </c>
      <c r="B875" s="1" t="str">
        <f t="shared" si="34"/>
        <v>IDBI Bank</v>
      </c>
      <c r="C875">
        <v>1</v>
      </c>
      <c r="D875">
        <v>0</v>
      </c>
      <c r="E875">
        <v>1</v>
      </c>
      <c r="F875" s="2">
        <v>360</v>
      </c>
      <c r="G875" s="2">
        <v>0</v>
      </c>
      <c r="H875" s="2">
        <v>360</v>
      </c>
      <c r="I875" s="2">
        <v>270</v>
      </c>
      <c r="J875" s="2">
        <v>90</v>
      </c>
      <c r="K875" s="3">
        <v>63</v>
      </c>
      <c r="L875" s="3">
        <v>27</v>
      </c>
      <c r="M875" s="3">
        <v>0</v>
      </c>
      <c r="N875" s="4" t="s">
        <v>143</v>
      </c>
      <c r="O875" s="3" t="str">
        <f t="shared" si="33"/>
        <v>Offline - F&amp;B</v>
      </c>
      <c r="P875" s="11">
        <v>8024000</v>
      </c>
      <c r="Q875" s="3">
        <v>5191700000</v>
      </c>
      <c r="R875" s="3">
        <v>3460800000</v>
      </c>
      <c r="S875" s="11">
        <v>11700000</v>
      </c>
    </row>
    <row r="876" spans="1:19" x14ac:dyDescent="0.35">
      <c r="A876" s="1" t="s">
        <v>49</v>
      </c>
      <c r="B876" s="1" t="str">
        <f t="shared" si="34"/>
        <v>IDBI Bank</v>
      </c>
      <c r="C876">
        <v>463</v>
      </c>
      <c r="D876">
        <v>0</v>
      </c>
      <c r="E876">
        <v>1331</v>
      </c>
      <c r="F876" s="2">
        <v>333474.98</v>
      </c>
      <c r="G876" s="2">
        <v>0</v>
      </c>
      <c r="H876" s="2">
        <v>333474.98</v>
      </c>
      <c r="I876" s="2">
        <v>278003.98</v>
      </c>
      <c r="J876" s="2">
        <v>55471</v>
      </c>
      <c r="K876" s="3">
        <v>38829.699999999997</v>
      </c>
      <c r="L876" s="3">
        <v>16641.3</v>
      </c>
      <c r="M876" s="3">
        <v>0</v>
      </c>
      <c r="N876" s="4" t="s">
        <v>143</v>
      </c>
      <c r="O876" s="3" t="str">
        <f t="shared" si="33"/>
        <v>Offline - F&amp;B</v>
      </c>
      <c r="P876" s="11">
        <v>8024000</v>
      </c>
      <c r="Q876" s="3">
        <v>5191700000</v>
      </c>
      <c r="R876" s="3">
        <v>3460800000</v>
      </c>
      <c r="S876" s="11">
        <v>11700000</v>
      </c>
    </row>
    <row r="877" spans="1:19" x14ac:dyDescent="0.35">
      <c r="A877" s="1" t="s">
        <v>52</v>
      </c>
      <c r="B877" s="1" t="str">
        <f t="shared" si="34"/>
        <v>Kotak Mahindra Bank</v>
      </c>
      <c r="C877">
        <v>18</v>
      </c>
      <c r="D877">
        <v>18</v>
      </c>
      <c r="E877">
        <v>40</v>
      </c>
      <c r="F877" s="2">
        <v>39990</v>
      </c>
      <c r="G877" s="2">
        <v>37098</v>
      </c>
      <c r="H877" s="2">
        <v>0</v>
      </c>
      <c r="I877" s="2">
        <v>26991</v>
      </c>
      <c r="J877" s="2">
        <v>12999</v>
      </c>
      <c r="K877" s="3">
        <v>12999</v>
      </c>
      <c r="L877" s="3">
        <v>0</v>
      </c>
      <c r="M877" s="3">
        <v>2832</v>
      </c>
      <c r="N877" s="4" t="s">
        <v>143</v>
      </c>
      <c r="O877" s="3" t="str">
        <f t="shared" si="33"/>
        <v>Online</v>
      </c>
      <c r="P877" s="11">
        <v>8024000</v>
      </c>
      <c r="Q877" s="3">
        <v>5191700000</v>
      </c>
      <c r="R877" s="3">
        <v>3460800000</v>
      </c>
      <c r="S877" s="11">
        <v>11700000</v>
      </c>
    </row>
    <row r="878" spans="1:19" x14ac:dyDescent="0.35">
      <c r="A878" s="1" t="s">
        <v>134</v>
      </c>
      <c r="B878" s="1" t="str">
        <f t="shared" si="34"/>
        <v>Kotak Mahindra Bank</v>
      </c>
      <c r="C878">
        <v>112</v>
      </c>
      <c r="D878">
        <v>112</v>
      </c>
      <c r="E878">
        <v>272</v>
      </c>
      <c r="F878" s="2">
        <v>93584.639999999999</v>
      </c>
      <c r="G878" s="2">
        <v>79338.14</v>
      </c>
      <c r="H878" s="2">
        <v>2408</v>
      </c>
      <c r="I878" s="2">
        <v>67775.06</v>
      </c>
      <c r="J878" s="2">
        <v>25809.58</v>
      </c>
      <c r="K878" s="3">
        <v>25809.58</v>
      </c>
      <c r="L878" s="3">
        <v>0</v>
      </c>
      <c r="M878" s="3">
        <v>11538.5</v>
      </c>
      <c r="N878" s="4" t="s">
        <v>143</v>
      </c>
      <c r="O878" s="3" t="str">
        <f t="shared" si="33"/>
        <v>Online</v>
      </c>
      <c r="P878" s="11">
        <v>8024000</v>
      </c>
      <c r="Q878" s="3">
        <v>5191700000</v>
      </c>
      <c r="R878" s="3">
        <v>3460800000</v>
      </c>
      <c r="S878" s="11">
        <v>11700000</v>
      </c>
    </row>
    <row r="879" spans="1:19" x14ac:dyDescent="0.35">
      <c r="A879" s="1" t="s">
        <v>130</v>
      </c>
      <c r="B879" s="1" t="str">
        <f t="shared" si="34"/>
        <v>Kotak Mahindra Bank</v>
      </c>
      <c r="C879">
        <v>65</v>
      </c>
      <c r="D879">
        <v>65</v>
      </c>
      <c r="E879">
        <v>139</v>
      </c>
      <c r="F879" s="2">
        <v>112947.58</v>
      </c>
      <c r="G879" s="2">
        <v>102622</v>
      </c>
      <c r="H879" s="2">
        <v>525</v>
      </c>
      <c r="I879" s="2">
        <v>70651.58</v>
      </c>
      <c r="J879" s="2">
        <v>42296</v>
      </c>
      <c r="K879" s="3">
        <v>42296</v>
      </c>
      <c r="L879" s="3">
        <v>0</v>
      </c>
      <c r="M879" s="3">
        <v>9636.58</v>
      </c>
      <c r="N879" s="4" t="s">
        <v>143</v>
      </c>
      <c r="O879" s="3" t="str">
        <f t="shared" si="33"/>
        <v>Online</v>
      </c>
      <c r="P879" s="11">
        <v>8024000</v>
      </c>
      <c r="Q879" s="3">
        <v>5191700000</v>
      </c>
      <c r="R879" s="3">
        <v>3460800000</v>
      </c>
      <c r="S879" s="11">
        <v>11700000</v>
      </c>
    </row>
    <row r="880" spans="1:19" x14ac:dyDescent="0.35">
      <c r="A880" s="1" t="s">
        <v>38</v>
      </c>
      <c r="B880" s="1" t="str">
        <f t="shared" si="34"/>
        <v>Kotak Mahindra Bank</v>
      </c>
      <c r="C880">
        <v>19439</v>
      </c>
      <c r="D880">
        <v>0</v>
      </c>
      <c r="E880">
        <v>47425</v>
      </c>
      <c r="F880" s="2">
        <v>12227080.76</v>
      </c>
      <c r="G880" s="2">
        <v>631414.02</v>
      </c>
      <c r="H880" s="2">
        <v>11586455.32</v>
      </c>
      <c r="I880" s="2">
        <v>9795655.7599999998</v>
      </c>
      <c r="J880" s="2">
        <v>2431425</v>
      </c>
      <c r="K880" s="3">
        <v>0</v>
      </c>
      <c r="L880" s="3">
        <v>2431425</v>
      </c>
      <c r="M880" s="3">
        <v>8981.42</v>
      </c>
      <c r="N880" s="4" t="s">
        <v>143</v>
      </c>
      <c r="O880" s="3" t="str">
        <f t="shared" si="33"/>
        <v>Other</v>
      </c>
      <c r="P880" s="11">
        <v>8024000</v>
      </c>
      <c r="Q880" s="3">
        <v>5191700000</v>
      </c>
      <c r="R880" s="3">
        <v>3460800000</v>
      </c>
      <c r="S880" s="11">
        <v>11700000</v>
      </c>
    </row>
    <row r="881" spans="1:19" x14ac:dyDescent="0.35">
      <c r="A881" s="1" t="s">
        <v>58</v>
      </c>
      <c r="B881" s="1" t="str">
        <f t="shared" si="34"/>
        <v>Kotak Mahindra Bank</v>
      </c>
      <c r="C881">
        <v>1356</v>
      </c>
      <c r="D881">
        <v>0</v>
      </c>
      <c r="E881">
        <v>3501</v>
      </c>
      <c r="F881" s="2">
        <v>1269577.25</v>
      </c>
      <c r="G881" s="2">
        <v>1126074.6499999999</v>
      </c>
      <c r="H881" s="2">
        <v>1497</v>
      </c>
      <c r="I881" s="2">
        <v>1248577.3700000001</v>
      </c>
      <c r="J881" s="2">
        <v>21000</v>
      </c>
      <c r="K881" s="3">
        <v>0</v>
      </c>
      <c r="L881" s="3">
        <v>21000</v>
      </c>
      <c r="M881" s="3">
        <v>139855.6</v>
      </c>
      <c r="N881" s="4" t="s">
        <v>143</v>
      </c>
      <c r="O881" s="3" t="str">
        <f t="shared" si="33"/>
        <v>Other</v>
      </c>
      <c r="P881" s="11">
        <v>8024000</v>
      </c>
      <c r="Q881" s="3">
        <v>5191700000</v>
      </c>
      <c r="R881" s="3">
        <v>3460800000</v>
      </c>
      <c r="S881" s="11">
        <v>11700000</v>
      </c>
    </row>
    <row r="882" spans="1:19" x14ac:dyDescent="0.35">
      <c r="A882" s="1" t="s">
        <v>135</v>
      </c>
      <c r="B882" s="1" t="str">
        <f t="shared" si="34"/>
        <v>Kotak Mahindra Bank</v>
      </c>
      <c r="C882">
        <v>60</v>
      </c>
      <c r="D882">
        <v>60</v>
      </c>
      <c r="E882">
        <v>136</v>
      </c>
      <c r="F882" s="2">
        <v>144122.68</v>
      </c>
      <c r="G882" s="2">
        <v>133326</v>
      </c>
      <c r="H882" s="2">
        <v>646</v>
      </c>
      <c r="I882" s="2">
        <v>86864.68</v>
      </c>
      <c r="J882" s="2">
        <v>57258</v>
      </c>
      <c r="K882" s="3">
        <v>57258</v>
      </c>
      <c r="L882" s="3">
        <v>0</v>
      </c>
      <c r="M882" s="3">
        <v>9974.68</v>
      </c>
      <c r="N882" s="4" t="s">
        <v>143</v>
      </c>
      <c r="O882" s="3" t="str">
        <f t="shared" si="33"/>
        <v>Online</v>
      </c>
      <c r="P882" s="11">
        <v>8024000</v>
      </c>
      <c r="Q882" s="3">
        <v>5191700000</v>
      </c>
      <c r="R882" s="3">
        <v>3460800000</v>
      </c>
      <c r="S882" s="11">
        <v>11700000</v>
      </c>
    </row>
    <row r="883" spans="1:19" x14ac:dyDescent="0.35">
      <c r="A883" s="1" t="s">
        <v>114</v>
      </c>
      <c r="B883" s="1" t="str">
        <f t="shared" si="34"/>
        <v>State Bank of India</v>
      </c>
      <c r="C883">
        <v>517</v>
      </c>
      <c r="D883">
        <v>0</v>
      </c>
      <c r="E883">
        <v>1788</v>
      </c>
      <c r="F883" s="2">
        <v>605149.07999999996</v>
      </c>
      <c r="G883" s="2">
        <v>605149.07999999996</v>
      </c>
      <c r="H883" s="2">
        <v>0</v>
      </c>
      <c r="I883" s="2">
        <v>559074.07999999996</v>
      </c>
      <c r="J883" s="2">
        <v>46075</v>
      </c>
      <c r="K883" s="3">
        <v>36860</v>
      </c>
      <c r="L883" s="3">
        <v>9215</v>
      </c>
      <c r="M883" s="3">
        <v>0</v>
      </c>
      <c r="N883" s="4" t="s">
        <v>143</v>
      </c>
      <c r="O883" s="3" t="str">
        <f t="shared" si="33"/>
        <v>Offline - Box Office</v>
      </c>
      <c r="P883" s="11">
        <v>8024000</v>
      </c>
      <c r="Q883" s="3">
        <v>5191700000</v>
      </c>
      <c r="R883" s="3">
        <v>3460800000</v>
      </c>
      <c r="S883" s="11">
        <v>11700000</v>
      </c>
    </row>
    <row r="884" spans="1:19" x14ac:dyDescent="0.35">
      <c r="A884" s="1" t="s">
        <v>115</v>
      </c>
      <c r="B884" s="1" t="str">
        <f t="shared" si="34"/>
        <v>State Bank of India</v>
      </c>
      <c r="C884">
        <v>1026</v>
      </c>
      <c r="D884">
        <v>0</v>
      </c>
      <c r="E884">
        <v>3706</v>
      </c>
      <c r="F884" s="2">
        <v>1121990.76</v>
      </c>
      <c r="G884" s="2">
        <v>0</v>
      </c>
      <c r="H884" s="2">
        <v>1121990.76</v>
      </c>
      <c r="I884" s="2">
        <v>1031429.76</v>
      </c>
      <c r="J884" s="2">
        <v>90561</v>
      </c>
      <c r="K884" s="3">
        <v>72448.800000000003</v>
      </c>
      <c r="L884" s="3">
        <v>18112.2</v>
      </c>
      <c r="M884" s="3">
        <v>0</v>
      </c>
      <c r="N884" s="4" t="s">
        <v>143</v>
      </c>
      <c r="O884" s="3" t="str">
        <f t="shared" si="33"/>
        <v>Offline - F&amp;B</v>
      </c>
      <c r="P884" s="11">
        <v>8024000</v>
      </c>
      <c r="Q884" s="3">
        <v>5191700000</v>
      </c>
      <c r="R884" s="3">
        <v>3460800000</v>
      </c>
      <c r="S884" s="11">
        <v>11700000</v>
      </c>
    </row>
    <row r="885" spans="1:19" x14ac:dyDescent="0.35">
      <c r="A885" s="1" t="s">
        <v>40</v>
      </c>
      <c r="B885" s="1" t="str">
        <f t="shared" si="34"/>
        <v>Standard Chartered Bank</v>
      </c>
      <c r="C885">
        <v>9</v>
      </c>
      <c r="D885">
        <v>9</v>
      </c>
      <c r="E885">
        <v>20</v>
      </c>
      <c r="F885" s="2">
        <v>6130</v>
      </c>
      <c r="G885" s="2">
        <v>6130</v>
      </c>
      <c r="H885" s="2">
        <v>0</v>
      </c>
      <c r="I885" s="2">
        <v>4380</v>
      </c>
      <c r="J885" s="2">
        <v>1750</v>
      </c>
      <c r="K885" s="3">
        <v>1750</v>
      </c>
      <c r="L885" s="3">
        <v>0</v>
      </c>
      <c r="M885" s="3">
        <v>0</v>
      </c>
      <c r="N885" s="4" t="s">
        <v>143</v>
      </c>
      <c r="O885" s="3" t="str">
        <f t="shared" si="33"/>
        <v>Offline - Box Office</v>
      </c>
      <c r="P885" s="11">
        <v>8024000</v>
      </c>
      <c r="Q885" s="3">
        <v>5191700000</v>
      </c>
      <c r="R885" s="3">
        <v>3460800000</v>
      </c>
      <c r="S885" s="11">
        <v>11700000</v>
      </c>
    </row>
    <row r="886" spans="1:19" x14ac:dyDescent="0.35">
      <c r="A886" s="1" t="s">
        <v>41</v>
      </c>
      <c r="B886" s="1" t="str">
        <f t="shared" si="34"/>
        <v>Standard Chartered Bank</v>
      </c>
      <c r="C886">
        <v>53</v>
      </c>
      <c r="D886">
        <v>53</v>
      </c>
      <c r="E886">
        <v>117</v>
      </c>
      <c r="F886" s="2">
        <v>37219.5</v>
      </c>
      <c r="G886" s="2">
        <v>32434.16</v>
      </c>
      <c r="H886" s="2">
        <v>265</v>
      </c>
      <c r="I886" s="2">
        <v>26856.3</v>
      </c>
      <c r="J886" s="2">
        <v>10363.200000000001</v>
      </c>
      <c r="K886" s="3">
        <v>10363.200000000001</v>
      </c>
      <c r="L886" s="3">
        <v>0</v>
      </c>
      <c r="M886" s="3">
        <v>4440.34</v>
      </c>
      <c r="N886" s="4" t="s">
        <v>143</v>
      </c>
      <c r="O886" s="3" t="str">
        <f t="shared" si="33"/>
        <v>Online</v>
      </c>
      <c r="P886" s="11">
        <v>8024000</v>
      </c>
      <c r="Q886" s="3">
        <v>5191700000</v>
      </c>
      <c r="R886" s="3">
        <v>3460800000</v>
      </c>
      <c r="S886" s="11">
        <v>11700000</v>
      </c>
    </row>
    <row r="887" spans="1:19" x14ac:dyDescent="0.35">
      <c r="A887" s="1" t="s">
        <v>141</v>
      </c>
      <c r="B887" s="1" t="str">
        <f t="shared" si="34"/>
        <v>Mastercard</v>
      </c>
      <c r="C887">
        <v>208</v>
      </c>
      <c r="D887">
        <v>0</v>
      </c>
      <c r="E887">
        <v>731</v>
      </c>
      <c r="F887" s="2">
        <v>293426.12</v>
      </c>
      <c r="G887" s="2">
        <v>293426.12</v>
      </c>
      <c r="H887" s="2">
        <v>0</v>
      </c>
      <c r="I887" s="2">
        <v>252193.12</v>
      </c>
      <c r="J887" s="2">
        <v>41233</v>
      </c>
      <c r="K887" s="3">
        <v>41233</v>
      </c>
      <c r="L887" s="3">
        <v>0</v>
      </c>
      <c r="M887" s="3">
        <v>0</v>
      </c>
      <c r="N887" s="4" t="s">
        <v>143</v>
      </c>
      <c r="O887" s="3" t="str">
        <f t="shared" si="33"/>
        <v>Offline - Box Office</v>
      </c>
      <c r="P887" s="11">
        <v>8024000</v>
      </c>
      <c r="Q887" s="3">
        <v>5191700000</v>
      </c>
      <c r="R887" s="3">
        <v>3460800000</v>
      </c>
      <c r="S887" s="11">
        <v>11700000</v>
      </c>
    </row>
    <row r="888" spans="1:19" x14ac:dyDescent="0.35">
      <c r="A888" s="1" t="s">
        <v>142</v>
      </c>
      <c r="B888" s="1" t="str">
        <f t="shared" si="34"/>
        <v>Mastercard</v>
      </c>
      <c r="C888">
        <v>900</v>
      </c>
      <c r="D888">
        <v>0</v>
      </c>
      <c r="E888">
        <v>3437</v>
      </c>
      <c r="F888" s="2">
        <v>1070684.3899999999</v>
      </c>
      <c r="G888" s="2">
        <v>0</v>
      </c>
      <c r="H888" s="2">
        <v>1070684.3899999999</v>
      </c>
      <c r="I888" s="2">
        <v>891545.39</v>
      </c>
      <c r="J888" s="2">
        <v>179139</v>
      </c>
      <c r="K888" s="3">
        <v>179139</v>
      </c>
      <c r="L888" s="3">
        <v>0</v>
      </c>
      <c r="M888" s="3">
        <v>0</v>
      </c>
      <c r="N888" s="4" t="s">
        <v>143</v>
      </c>
      <c r="O888" s="3" t="str">
        <f t="shared" si="33"/>
        <v>Offline - F&amp;B</v>
      </c>
      <c r="P888" s="11">
        <v>8024000</v>
      </c>
      <c r="Q888" s="3">
        <v>5191700000</v>
      </c>
      <c r="R888" s="3">
        <v>3460800000</v>
      </c>
      <c r="S888" s="11">
        <v>11700000</v>
      </c>
    </row>
    <row r="889" spans="1:19" x14ac:dyDescent="0.35">
      <c r="A889" s="1" t="s">
        <v>125</v>
      </c>
      <c r="B889" s="1" t="str">
        <f t="shared" si="34"/>
        <v>HDFC Bank</v>
      </c>
      <c r="C889">
        <v>5784</v>
      </c>
      <c r="D889">
        <v>0</v>
      </c>
      <c r="E889">
        <v>35297</v>
      </c>
      <c r="F889" s="2">
        <v>12501382.99</v>
      </c>
      <c r="G889" s="2">
        <v>5494186.4299999997</v>
      </c>
      <c r="H889" s="2">
        <v>6837983.0999999996</v>
      </c>
      <c r="I889" s="2">
        <v>11975807.99</v>
      </c>
      <c r="J889" s="2">
        <v>525575</v>
      </c>
      <c r="K889" s="3">
        <v>0</v>
      </c>
      <c r="L889" s="3">
        <v>525575</v>
      </c>
      <c r="M889" s="3">
        <v>166541.46</v>
      </c>
      <c r="N889" s="4" t="s">
        <v>143</v>
      </c>
      <c r="O889" s="3" t="str">
        <f t="shared" si="33"/>
        <v>Other</v>
      </c>
      <c r="P889" s="11">
        <v>8024000</v>
      </c>
      <c r="Q889" s="3">
        <v>5191700000</v>
      </c>
      <c r="R889" s="3">
        <v>3460800000</v>
      </c>
      <c r="S889" s="11">
        <v>11700000</v>
      </c>
    </row>
    <row r="890" spans="1:19" x14ac:dyDescent="0.35">
      <c r="A890" s="1" t="s">
        <v>137</v>
      </c>
      <c r="B890" s="1" t="str">
        <f t="shared" si="34"/>
        <v>Axis Bank</v>
      </c>
      <c r="C890">
        <v>30</v>
      </c>
      <c r="D890">
        <v>0</v>
      </c>
      <c r="E890">
        <v>64</v>
      </c>
      <c r="F890" s="2">
        <v>21133.84</v>
      </c>
      <c r="G890" s="2">
        <v>18105.96</v>
      </c>
      <c r="H890" s="2">
        <v>355</v>
      </c>
      <c r="I890" s="2">
        <v>14713.84</v>
      </c>
      <c r="J890" s="2">
        <v>6420</v>
      </c>
      <c r="K890" s="3">
        <v>3852</v>
      </c>
      <c r="L890" s="3">
        <v>2568</v>
      </c>
      <c r="M890" s="3">
        <v>2614.88</v>
      </c>
      <c r="N890" s="4" t="s">
        <v>145</v>
      </c>
      <c r="O890" s="3" t="str">
        <f t="shared" si="33"/>
        <v>Online</v>
      </c>
      <c r="P890" s="11">
        <v>4239000</v>
      </c>
      <c r="Q890" s="3">
        <v>2316500000</v>
      </c>
      <c r="R890" s="3">
        <v>1492200000</v>
      </c>
      <c r="S890" s="11">
        <v>6035000</v>
      </c>
    </row>
    <row r="891" spans="1:19" x14ac:dyDescent="0.35">
      <c r="A891" s="1" t="s">
        <v>91</v>
      </c>
      <c r="B891" s="1" t="str">
        <f t="shared" si="34"/>
        <v>American Express</v>
      </c>
      <c r="C891">
        <v>180</v>
      </c>
      <c r="D891">
        <v>180</v>
      </c>
      <c r="E891">
        <v>457</v>
      </c>
      <c r="F891" s="2">
        <v>213733.56</v>
      </c>
      <c r="G891" s="2">
        <v>213733.56</v>
      </c>
      <c r="H891" s="2">
        <v>0</v>
      </c>
      <c r="I891" s="2">
        <v>145706.98000000001</v>
      </c>
      <c r="J891" s="2">
        <v>68026.58</v>
      </c>
      <c r="K891" s="3">
        <v>34013.32</v>
      </c>
      <c r="L891" s="3">
        <v>34013.32</v>
      </c>
      <c r="M891" s="3">
        <v>0</v>
      </c>
      <c r="N891" s="4" t="s">
        <v>145</v>
      </c>
      <c r="O891" s="3" t="str">
        <f t="shared" si="33"/>
        <v>Offline - Box Office</v>
      </c>
      <c r="P891" s="11">
        <v>4239000</v>
      </c>
      <c r="Q891" s="3">
        <v>2316500000</v>
      </c>
      <c r="R891" s="3">
        <v>1492200000</v>
      </c>
      <c r="S891" s="11">
        <v>6035000</v>
      </c>
    </row>
    <row r="892" spans="1:19" x14ac:dyDescent="0.35">
      <c r="A892" s="1" t="s">
        <v>93</v>
      </c>
      <c r="B892" s="1" t="str">
        <f t="shared" si="34"/>
        <v>American Express</v>
      </c>
      <c r="C892">
        <v>746</v>
      </c>
      <c r="D892">
        <v>746</v>
      </c>
      <c r="E892">
        <v>1772</v>
      </c>
      <c r="F892" s="2">
        <v>1072762.23</v>
      </c>
      <c r="G892" s="2">
        <v>957732.09</v>
      </c>
      <c r="H892" s="2">
        <v>9223</v>
      </c>
      <c r="I892" s="2">
        <v>769153.47</v>
      </c>
      <c r="J892" s="2">
        <v>303608.76</v>
      </c>
      <c r="K892" s="3">
        <v>151804.51</v>
      </c>
      <c r="L892" s="3">
        <v>151804.51</v>
      </c>
      <c r="M892" s="3">
        <v>103757.14</v>
      </c>
      <c r="N892" s="4" t="s">
        <v>145</v>
      </c>
      <c r="O892" s="3" t="str">
        <f t="shared" si="33"/>
        <v>Online</v>
      </c>
      <c r="P892" s="11">
        <v>4239000</v>
      </c>
      <c r="Q892" s="3">
        <v>2316500000</v>
      </c>
      <c r="R892" s="3">
        <v>1492200000</v>
      </c>
      <c r="S892" s="11">
        <v>6035000</v>
      </c>
    </row>
    <row r="893" spans="1:19" x14ac:dyDescent="0.35">
      <c r="A893" s="1" t="s">
        <v>43</v>
      </c>
      <c r="B893" s="1" t="str">
        <f t="shared" si="34"/>
        <v>Axis Bank</v>
      </c>
      <c r="C893">
        <v>14</v>
      </c>
      <c r="D893">
        <v>14</v>
      </c>
      <c r="E893">
        <v>32</v>
      </c>
      <c r="F893" s="2">
        <v>6761.76</v>
      </c>
      <c r="G893" s="2">
        <v>6761.76</v>
      </c>
      <c r="H893" s="2">
        <v>0</v>
      </c>
      <c r="I893" s="2">
        <v>4267.28</v>
      </c>
      <c r="J893" s="2">
        <v>2494.48</v>
      </c>
      <c r="K893" s="3">
        <v>2195.14</v>
      </c>
      <c r="L893" s="3">
        <v>299.33999999999997</v>
      </c>
      <c r="M893" s="3">
        <v>0</v>
      </c>
      <c r="N893" s="4" t="s">
        <v>145</v>
      </c>
      <c r="O893" s="3" t="str">
        <f t="shared" si="33"/>
        <v>Offline - Box Office</v>
      </c>
      <c r="P893" s="11">
        <v>4239000</v>
      </c>
      <c r="Q893" s="3">
        <v>2316500000</v>
      </c>
      <c r="R893" s="3">
        <v>1492200000</v>
      </c>
      <c r="S893" s="11">
        <v>6035000</v>
      </c>
    </row>
    <row r="894" spans="1:19" x14ac:dyDescent="0.35">
      <c r="A894" s="1" t="s">
        <v>23</v>
      </c>
      <c r="B894" s="1" t="str">
        <f t="shared" si="34"/>
        <v>Axis Bank</v>
      </c>
      <c r="C894">
        <v>20</v>
      </c>
      <c r="D894">
        <v>20</v>
      </c>
      <c r="E894">
        <v>48</v>
      </c>
      <c r="F894" s="2">
        <v>14515.28</v>
      </c>
      <c r="G894" s="2">
        <v>12151.16</v>
      </c>
      <c r="H894" s="2">
        <v>355</v>
      </c>
      <c r="I894" s="2">
        <v>10823.88</v>
      </c>
      <c r="J894" s="2">
        <v>3691.4</v>
      </c>
      <c r="K894" s="3">
        <v>3137.69</v>
      </c>
      <c r="L894" s="3">
        <v>553.71</v>
      </c>
      <c r="M894" s="3">
        <v>1945.12</v>
      </c>
      <c r="N894" s="4" t="s">
        <v>145</v>
      </c>
      <c r="O894" s="3" t="str">
        <f t="shared" si="33"/>
        <v>Online</v>
      </c>
      <c r="P894" s="11">
        <v>4239000</v>
      </c>
      <c r="Q894" s="3">
        <v>2316500000</v>
      </c>
      <c r="R894" s="3">
        <v>1492200000</v>
      </c>
      <c r="S894" s="11">
        <v>6035000</v>
      </c>
    </row>
    <row r="895" spans="1:19" x14ac:dyDescent="0.35">
      <c r="A895" s="1" t="s">
        <v>44</v>
      </c>
      <c r="B895" s="1" t="str">
        <f t="shared" si="34"/>
        <v>Axis Bank</v>
      </c>
      <c r="C895">
        <v>190</v>
      </c>
      <c r="D895">
        <v>190</v>
      </c>
      <c r="E895">
        <v>469</v>
      </c>
      <c r="F895" s="2">
        <v>110114.68</v>
      </c>
      <c r="G895" s="2">
        <v>110114.68</v>
      </c>
      <c r="H895" s="2">
        <v>0</v>
      </c>
      <c r="I895" s="2">
        <v>75230.69</v>
      </c>
      <c r="J895" s="2">
        <v>34883.99</v>
      </c>
      <c r="K895" s="3">
        <v>30697.8</v>
      </c>
      <c r="L895" s="3">
        <v>4186.1899999999996</v>
      </c>
      <c r="M895" s="3">
        <v>0</v>
      </c>
      <c r="N895" s="4" t="s">
        <v>145</v>
      </c>
      <c r="O895" s="3" t="str">
        <f t="shared" si="33"/>
        <v>Offline - Box Office</v>
      </c>
      <c r="P895" s="11">
        <v>4239000</v>
      </c>
      <c r="Q895" s="3">
        <v>2316500000</v>
      </c>
      <c r="R895" s="3">
        <v>1492200000</v>
      </c>
      <c r="S895" s="11">
        <v>6035000</v>
      </c>
    </row>
    <row r="896" spans="1:19" x14ac:dyDescent="0.35">
      <c r="A896" s="1" t="s">
        <v>24</v>
      </c>
      <c r="B896" s="1" t="str">
        <f t="shared" si="34"/>
        <v>Axis Bank</v>
      </c>
      <c r="C896">
        <v>638</v>
      </c>
      <c r="D896">
        <v>638</v>
      </c>
      <c r="E896">
        <v>1440</v>
      </c>
      <c r="F896" s="2">
        <v>380747.78</v>
      </c>
      <c r="G896" s="2">
        <v>326572.52</v>
      </c>
      <c r="H896" s="2">
        <v>1771</v>
      </c>
      <c r="I896" s="2">
        <v>262951.95</v>
      </c>
      <c r="J896" s="2">
        <v>117795.83</v>
      </c>
      <c r="K896" s="3">
        <v>100126.45</v>
      </c>
      <c r="L896" s="3">
        <v>17669.38</v>
      </c>
      <c r="M896" s="3">
        <v>51308.26</v>
      </c>
      <c r="N896" s="4" t="s">
        <v>145</v>
      </c>
      <c r="O896" s="3" t="str">
        <f t="shared" si="33"/>
        <v>Online</v>
      </c>
      <c r="P896" s="11">
        <v>4239000</v>
      </c>
      <c r="Q896" s="3">
        <v>2316500000</v>
      </c>
      <c r="R896" s="3">
        <v>1492200000</v>
      </c>
      <c r="S896" s="11">
        <v>6035000</v>
      </c>
    </row>
    <row r="897" spans="1:19" x14ac:dyDescent="0.35">
      <c r="A897" s="1" t="s">
        <v>54</v>
      </c>
      <c r="B897" s="1" t="str">
        <f t="shared" si="34"/>
        <v>BOB Card</v>
      </c>
      <c r="C897">
        <v>23</v>
      </c>
      <c r="D897">
        <v>0</v>
      </c>
      <c r="E897">
        <v>42</v>
      </c>
      <c r="F897" s="2">
        <v>21459.040000000001</v>
      </c>
      <c r="G897" s="2">
        <v>20264</v>
      </c>
      <c r="H897" s="2">
        <v>1160</v>
      </c>
      <c r="I897" s="2">
        <v>19345.04</v>
      </c>
      <c r="J897" s="2">
        <v>2114</v>
      </c>
      <c r="K897" s="3">
        <v>1479.8</v>
      </c>
      <c r="L897" s="3">
        <v>634.20000000000005</v>
      </c>
      <c r="M897" s="3">
        <v>33.04</v>
      </c>
      <c r="N897" s="4" t="s">
        <v>145</v>
      </c>
      <c r="O897" s="3" t="str">
        <f t="shared" si="33"/>
        <v>Online</v>
      </c>
      <c r="P897" s="11">
        <v>4239000</v>
      </c>
      <c r="Q897" s="3">
        <v>2316500000</v>
      </c>
      <c r="R897" s="3">
        <v>1492200000</v>
      </c>
      <c r="S897" s="11">
        <v>6035000</v>
      </c>
    </row>
    <row r="898" spans="1:19" x14ac:dyDescent="0.35">
      <c r="A898" s="1" t="s">
        <v>55</v>
      </c>
      <c r="B898" s="1" t="str">
        <f t="shared" si="34"/>
        <v>BOB Card</v>
      </c>
      <c r="C898">
        <v>320</v>
      </c>
      <c r="D898">
        <v>0</v>
      </c>
      <c r="E898">
        <v>1042</v>
      </c>
      <c r="F898" s="2">
        <v>288749.3</v>
      </c>
      <c r="G898" s="2">
        <v>0</v>
      </c>
      <c r="H898" s="2">
        <v>288749.3</v>
      </c>
      <c r="I898" s="2">
        <v>260238.3</v>
      </c>
      <c r="J898" s="2">
        <v>28511</v>
      </c>
      <c r="K898" s="3">
        <v>19957.7</v>
      </c>
      <c r="L898" s="3">
        <v>8553.2999999999993</v>
      </c>
      <c r="M898" s="3">
        <v>0</v>
      </c>
      <c r="N898" s="4" t="s">
        <v>145</v>
      </c>
      <c r="O898" s="3" t="str">
        <f t="shared" ref="O898:O961" si="35">IF(ISNUMBER(SEARCH("Box Office",A898)),"Offline - Box Office",
IF(ISNUMBER(SEARCH("Digital Platforms",A898)),"Online",
IF(ISNUMBER(SEARCH("Refuel",A898)),"Offline - F&amp;B",
IF(ISNUMBER(SEARCH("Food &amp; Beverages",A898)),"Offline - F&amp;B",
IF(ISNUMBER(SEARCH("F&amp;B",A898)),"Offline - F&amp;B",
IF(ISNUMBER(SEARCH("Kiosk",A898)),"Offline - Box Office",
IF(ISNUMBER(SEARCH("Cinema",A898)),"Offline - Box Office",
"Other")))))))</f>
        <v>Offline - F&amp;B</v>
      </c>
      <c r="P898" s="11">
        <v>4239000</v>
      </c>
      <c r="Q898" s="3">
        <v>2316500000</v>
      </c>
      <c r="R898" s="3">
        <v>1492200000</v>
      </c>
      <c r="S898" s="11">
        <v>6035000</v>
      </c>
    </row>
    <row r="899" spans="1:19" x14ac:dyDescent="0.35">
      <c r="A899" s="1" t="s">
        <v>119</v>
      </c>
      <c r="B899" s="1" t="str">
        <f t="shared" si="34"/>
        <v>AU Bank</v>
      </c>
      <c r="C899">
        <v>16</v>
      </c>
      <c r="D899">
        <v>16</v>
      </c>
      <c r="E899">
        <v>39</v>
      </c>
      <c r="F899" s="2">
        <v>11718</v>
      </c>
      <c r="G899" s="2">
        <v>11718</v>
      </c>
      <c r="H899" s="2">
        <v>0</v>
      </c>
      <c r="I899" s="2">
        <v>8168</v>
      </c>
      <c r="J899" s="2">
        <v>3550</v>
      </c>
      <c r="K899" s="3">
        <v>2485</v>
      </c>
      <c r="L899" s="3">
        <v>1065</v>
      </c>
      <c r="M899" s="3">
        <v>0</v>
      </c>
      <c r="N899" s="4" t="s">
        <v>145</v>
      </c>
      <c r="O899" s="3" t="str">
        <f t="shared" si="35"/>
        <v>Offline - Box Office</v>
      </c>
      <c r="P899" s="11">
        <v>4239000</v>
      </c>
      <c r="Q899" s="3">
        <v>2316500000</v>
      </c>
      <c r="R899" s="3">
        <v>1492200000</v>
      </c>
      <c r="S899" s="11">
        <v>6035000</v>
      </c>
    </row>
    <row r="900" spans="1:19" x14ac:dyDescent="0.35">
      <c r="A900" s="1" t="s">
        <v>120</v>
      </c>
      <c r="B900" s="1" t="str">
        <f t="shared" si="34"/>
        <v>AU Bank</v>
      </c>
      <c r="C900">
        <v>14</v>
      </c>
      <c r="D900">
        <v>14</v>
      </c>
      <c r="E900">
        <v>32</v>
      </c>
      <c r="F900" s="2">
        <v>11674.78</v>
      </c>
      <c r="G900" s="2">
        <v>10307</v>
      </c>
      <c r="H900" s="2">
        <v>0</v>
      </c>
      <c r="I900" s="2">
        <v>8465.7800000000007</v>
      </c>
      <c r="J900" s="2">
        <v>3209</v>
      </c>
      <c r="K900" s="3">
        <v>2246.3000000000002</v>
      </c>
      <c r="L900" s="3">
        <v>962.7</v>
      </c>
      <c r="M900" s="3">
        <v>1341.78</v>
      </c>
      <c r="N900" s="4" t="s">
        <v>145</v>
      </c>
      <c r="O900" s="3" t="str">
        <f t="shared" si="35"/>
        <v>Online</v>
      </c>
      <c r="P900" s="11">
        <v>4239000</v>
      </c>
      <c r="Q900" s="3">
        <v>2316500000</v>
      </c>
      <c r="R900" s="3">
        <v>1492200000</v>
      </c>
      <c r="S900" s="11">
        <v>6035000</v>
      </c>
    </row>
    <row r="901" spans="1:19" x14ac:dyDescent="0.35">
      <c r="A901" s="1" t="s">
        <v>27</v>
      </c>
      <c r="B901" s="1" t="str">
        <f t="shared" si="34"/>
        <v>Federal Bank</v>
      </c>
      <c r="C901">
        <v>51</v>
      </c>
      <c r="D901">
        <v>51</v>
      </c>
      <c r="E901">
        <v>126</v>
      </c>
      <c r="F901" s="2">
        <v>34112.36</v>
      </c>
      <c r="G901" s="2">
        <v>34112.36</v>
      </c>
      <c r="H901" s="2">
        <v>0</v>
      </c>
      <c r="I901" s="2">
        <v>29026.74</v>
      </c>
      <c r="J901" s="2">
        <v>5085.62</v>
      </c>
      <c r="K901" s="3">
        <v>5085.62</v>
      </c>
      <c r="L901" s="3">
        <v>0</v>
      </c>
      <c r="M901" s="3">
        <v>0</v>
      </c>
      <c r="N901" s="4" t="s">
        <v>145</v>
      </c>
      <c r="O901" s="3" t="str">
        <f t="shared" si="35"/>
        <v>Offline - Box Office</v>
      </c>
      <c r="P901" s="11">
        <v>4239000</v>
      </c>
      <c r="Q901" s="3">
        <v>2316500000</v>
      </c>
      <c r="R901" s="3">
        <v>1492200000</v>
      </c>
      <c r="S901" s="11">
        <v>6035000</v>
      </c>
    </row>
    <row r="902" spans="1:19" x14ac:dyDescent="0.35">
      <c r="A902" s="1" t="s">
        <v>28</v>
      </c>
      <c r="B902" s="1" t="str">
        <f t="shared" si="34"/>
        <v>Federal Bank</v>
      </c>
      <c r="C902">
        <v>56</v>
      </c>
      <c r="D902">
        <v>56</v>
      </c>
      <c r="E902">
        <v>128</v>
      </c>
      <c r="F902" s="2">
        <v>33759.839999999997</v>
      </c>
      <c r="G902" s="2">
        <v>28423.58</v>
      </c>
      <c r="H902" s="2">
        <v>485</v>
      </c>
      <c r="I902" s="2">
        <v>28269.49</v>
      </c>
      <c r="J902" s="2">
        <v>5490.35</v>
      </c>
      <c r="K902" s="3">
        <v>5490.35</v>
      </c>
      <c r="L902" s="3">
        <v>0</v>
      </c>
      <c r="M902" s="3">
        <v>4745.26</v>
      </c>
      <c r="N902" s="4" t="s">
        <v>145</v>
      </c>
      <c r="O902" s="3" t="str">
        <f t="shared" si="35"/>
        <v>Online</v>
      </c>
      <c r="P902" s="11">
        <v>4239000</v>
      </c>
      <c r="Q902" s="3">
        <v>2316500000</v>
      </c>
      <c r="R902" s="3">
        <v>1492200000</v>
      </c>
      <c r="S902" s="11">
        <v>6035000</v>
      </c>
    </row>
    <row r="903" spans="1:19" x14ac:dyDescent="0.35">
      <c r="A903" s="1" t="s">
        <v>29</v>
      </c>
      <c r="B903" s="1" t="str">
        <f t="shared" si="34"/>
        <v>Federal Bank</v>
      </c>
      <c r="C903">
        <v>163</v>
      </c>
      <c r="D903">
        <v>163</v>
      </c>
      <c r="E903">
        <v>448</v>
      </c>
      <c r="F903" s="2">
        <v>102371.16</v>
      </c>
      <c r="G903" s="2">
        <v>102371.16</v>
      </c>
      <c r="H903" s="2">
        <v>0</v>
      </c>
      <c r="I903" s="2">
        <v>86151.35</v>
      </c>
      <c r="J903" s="2">
        <v>16219.81</v>
      </c>
      <c r="K903" s="3">
        <v>16219.81</v>
      </c>
      <c r="L903" s="3">
        <v>0</v>
      </c>
      <c r="M903" s="3">
        <v>0</v>
      </c>
      <c r="N903" s="4" t="s">
        <v>145</v>
      </c>
      <c r="O903" s="3" t="str">
        <f t="shared" si="35"/>
        <v>Offline - Box Office</v>
      </c>
      <c r="P903" s="11">
        <v>4239000</v>
      </c>
      <c r="Q903" s="3">
        <v>2316500000</v>
      </c>
      <c r="R903" s="3">
        <v>1492200000</v>
      </c>
      <c r="S903" s="11">
        <v>6035000</v>
      </c>
    </row>
    <row r="904" spans="1:19" x14ac:dyDescent="0.35">
      <c r="A904" s="1" t="s">
        <v>30</v>
      </c>
      <c r="B904" s="1" t="str">
        <f t="shared" si="34"/>
        <v>Federal Bank</v>
      </c>
      <c r="C904">
        <v>153</v>
      </c>
      <c r="D904">
        <v>153</v>
      </c>
      <c r="E904">
        <v>370</v>
      </c>
      <c r="F904" s="2">
        <v>86519.4</v>
      </c>
      <c r="G904" s="2">
        <v>72146.84</v>
      </c>
      <c r="H904" s="2">
        <v>1645</v>
      </c>
      <c r="I904" s="2">
        <v>71516.88</v>
      </c>
      <c r="J904" s="2">
        <v>15002.52</v>
      </c>
      <c r="K904" s="3">
        <v>15002.52</v>
      </c>
      <c r="L904" s="3">
        <v>0</v>
      </c>
      <c r="M904" s="3">
        <v>12367.56</v>
      </c>
      <c r="N904" s="4" t="s">
        <v>145</v>
      </c>
      <c r="O904" s="3" t="str">
        <f t="shared" si="35"/>
        <v>Online</v>
      </c>
      <c r="P904" s="11">
        <v>4239000</v>
      </c>
      <c r="Q904" s="3">
        <v>2316500000</v>
      </c>
      <c r="R904" s="3">
        <v>1492200000</v>
      </c>
      <c r="S904" s="11">
        <v>6035000</v>
      </c>
    </row>
    <row r="905" spans="1:19" x14ac:dyDescent="0.35">
      <c r="A905" s="1" t="s">
        <v>121</v>
      </c>
      <c r="B905" s="1" t="str">
        <f t="shared" si="34"/>
        <v>AU Bank</v>
      </c>
      <c r="C905">
        <v>79</v>
      </c>
      <c r="D905">
        <v>0</v>
      </c>
      <c r="E905">
        <v>267</v>
      </c>
      <c r="F905" s="2">
        <v>77074.8</v>
      </c>
      <c r="G905" s="2">
        <v>77074.8</v>
      </c>
      <c r="H905" s="2">
        <v>0</v>
      </c>
      <c r="I905" s="2">
        <v>66313.8</v>
      </c>
      <c r="J905" s="2">
        <v>10761</v>
      </c>
      <c r="K905" s="3">
        <v>7532.7</v>
      </c>
      <c r="L905" s="3">
        <v>3228.3</v>
      </c>
      <c r="M905" s="3">
        <v>0</v>
      </c>
      <c r="N905" s="4" t="s">
        <v>145</v>
      </c>
      <c r="O905" s="3" t="str">
        <f t="shared" si="35"/>
        <v>Offline - Box Office</v>
      </c>
      <c r="P905" s="11">
        <v>4239000</v>
      </c>
      <c r="Q905" s="3">
        <v>2316500000</v>
      </c>
      <c r="R905" s="3">
        <v>1492200000</v>
      </c>
      <c r="S905" s="11">
        <v>6035000</v>
      </c>
    </row>
    <row r="906" spans="1:19" x14ac:dyDescent="0.35">
      <c r="A906" s="1" t="s">
        <v>122</v>
      </c>
      <c r="B906" s="1" t="str">
        <f t="shared" si="34"/>
        <v>AU Bank</v>
      </c>
      <c r="C906">
        <v>24</v>
      </c>
      <c r="D906">
        <v>0</v>
      </c>
      <c r="E906">
        <v>71</v>
      </c>
      <c r="F906" s="2">
        <v>23653.63</v>
      </c>
      <c r="G906" s="2">
        <v>19666.47</v>
      </c>
      <c r="H906" s="2">
        <v>860</v>
      </c>
      <c r="I906" s="2">
        <v>20413.63</v>
      </c>
      <c r="J906" s="2">
        <v>3240</v>
      </c>
      <c r="K906" s="3">
        <v>2268</v>
      </c>
      <c r="L906" s="3">
        <v>972</v>
      </c>
      <c r="M906" s="3">
        <v>3023.16</v>
      </c>
      <c r="N906" s="4" t="s">
        <v>145</v>
      </c>
      <c r="O906" s="3" t="str">
        <f t="shared" si="35"/>
        <v>Online</v>
      </c>
      <c r="P906" s="11">
        <v>4239000</v>
      </c>
      <c r="Q906" s="3">
        <v>2316500000</v>
      </c>
      <c r="R906" s="3">
        <v>1492200000</v>
      </c>
      <c r="S906" s="11">
        <v>6035000</v>
      </c>
    </row>
    <row r="907" spans="1:19" x14ac:dyDescent="0.35">
      <c r="A907" s="1" t="s">
        <v>123</v>
      </c>
      <c r="B907" s="1" t="str">
        <f t="shared" si="34"/>
        <v>AU Bank</v>
      </c>
      <c r="C907">
        <v>89</v>
      </c>
      <c r="D907">
        <v>0</v>
      </c>
      <c r="E907">
        <v>274</v>
      </c>
      <c r="F907" s="2">
        <v>74618</v>
      </c>
      <c r="G907" s="2">
        <v>74618</v>
      </c>
      <c r="H907" s="2">
        <v>0</v>
      </c>
      <c r="I907" s="2">
        <v>65718</v>
      </c>
      <c r="J907" s="2">
        <v>8900</v>
      </c>
      <c r="K907" s="3">
        <v>6230</v>
      </c>
      <c r="L907" s="3">
        <v>2670</v>
      </c>
      <c r="M907" s="3">
        <v>0</v>
      </c>
      <c r="N907" s="4" t="s">
        <v>145</v>
      </c>
      <c r="O907" s="3" t="str">
        <f t="shared" si="35"/>
        <v>Offline - Box Office</v>
      </c>
      <c r="P907" s="11">
        <v>4239000</v>
      </c>
      <c r="Q907" s="3">
        <v>2316500000</v>
      </c>
      <c r="R907" s="3">
        <v>1492200000</v>
      </c>
      <c r="S907" s="11">
        <v>6035000</v>
      </c>
    </row>
    <row r="908" spans="1:19" x14ac:dyDescent="0.35">
      <c r="A908" s="1" t="s">
        <v>124</v>
      </c>
      <c r="B908" s="1" t="str">
        <f t="shared" si="34"/>
        <v>AU Bank</v>
      </c>
      <c r="C908">
        <v>19</v>
      </c>
      <c r="D908">
        <v>0</v>
      </c>
      <c r="E908">
        <v>50</v>
      </c>
      <c r="F908" s="2">
        <v>17878.16</v>
      </c>
      <c r="G908" s="2">
        <v>15524.2</v>
      </c>
      <c r="H908" s="2">
        <v>0</v>
      </c>
      <c r="I908" s="2">
        <v>15978.16</v>
      </c>
      <c r="J908" s="2">
        <v>1900</v>
      </c>
      <c r="K908" s="3">
        <v>1330</v>
      </c>
      <c r="L908" s="3">
        <v>570</v>
      </c>
      <c r="M908" s="3">
        <v>2305.96</v>
      </c>
      <c r="N908" s="4" t="s">
        <v>145</v>
      </c>
      <c r="O908" s="3" t="str">
        <f t="shared" si="35"/>
        <v>Online</v>
      </c>
      <c r="P908" s="11">
        <v>4239000</v>
      </c>
      <c r="Q908" s="3">
        <v>2316500000</v>
      </c>
      <c r="R908" s="3">
        <v>1492200000</v>
      </c>
      <c r="S908" s="11">
        <v>6035000</v>
      </c>
    </row>
    <row r="909" spans="1:19" x14ac:dyDescent="0.35">
      <c r="A909" s="1" t="s">
        <v>133</v>
      </c>
      <c r="B909" s="1" t="str">
        <f t="shared" si="34"/>
        <v>HDFC Bank</v>
      </c>
      <c r="C909">
        <v>66</v>
      </c>
      <c r="D909">
        <v>0</v>
      </c>
      <c r="E909">
        <v>80</v>
      </c>
      <c r="F909" s="2">
        <v>51255</v>
      </c>
      <c r="G909" s="2">
        <v>0</v>
      </c>
      <c r="H909" s="2">
        <v>51255</v>
      </c>
      <c r="I909" s="2">
        <v>44655</v>
      </c>
      <c r="J909" s="2">
        <v>6600</v>
      </c>
      <c r="K909" s="3">
        <v>6600</v>
      </c>
      <c r="L909" s="3">
        <v>0</v>
      </c>
      <c r="M909" s="3">
        <v>0</v>
      </c>
      <c r="N909" s="4" t="s">
        <v>145</v>
      </c>
      <c r="O909" s="3" t="str">
        <f t="shared" si="35"/>
        <v>Offline - F&amp;B</v>
      </c>
      <c r="P909" s="11">
        <v>4239000</v>
      </c>
      <c r="Q909" s="3">
        <v>2316500000</v>
      </c>
      <c r="R909" s="3">
        <v>1492200000</v>
      </c>
      <c r="S909" s="11">
        <v>6035000</v>
      </c>
    </row>
    <row r="910" spans="1:19" x14ac:dyDescent="0.35">
      <c r="A910" s="1" t="s">
        <v>32</v>
      </c>
      <c r="B910" s="1" t="str">
        <f t="shared" si="34"/>
        <v>ICICI Bank</v>
      </c>
      <c r="C910">
        <v>1701</v>
      </c>
      <c r="D910">
        <v>0</v>
      </c>
      <c r="E910">
        <v>4490</v>
      </c>
      <c r="F910" s="2">
        <v>1050740.6599999999</v>
      </c>
      <c r="G910" s="2">
        <v>1050740.6599999999</v>
      </c>
      <c r="H910" s="2">
        <v>0</v>
      </c>
      <c r="I910" s="2">
        <v>881445.66</v>
      </c>
      <c r="J910" s="2">
        <v>169295</v>
      </c>
      <c r="K910" s="3">
        <v>148979.6</v>
      </c>
      <c r="L910" s="3">
        <v>20315.400000000001</v>
      </c>
      <c r="M910" s="3">
        <v>0</v>
      </c>
      <c r="N910" s="4" t="s">
        <v>145</v>
      </c>
      <c r="O910" s="3" t="str">
        <f t="shared" si="35"/>
        <v>Offline - Box Office</v>
      </c>
      <c r="P910" s="11">
        <v>4239000</v>
      </c>
      <c r="Q910" s="3">
        <v>2316500000</v>
      </c>
      <c r="R910" s="3">
        <v>1492200000</v>
      </c>
      <c r="S910" s="11">
        <v>6035000</v>
      </c>
    </row>
    <row r="911" spans="1:19" x14ac:dyDescent="0.35">
      <c r="A911" s="1" t="s">
        <v>33</v>
      </c>
      <c r="B911" s="1" t="str">
        <f t="shared" si="34"/>
        <v>ICICI Bank</v>
      </c>
      <c r="C911">
        <v>355</v>
      </c>
      <c r="D911">
        <v>0</v>
      </c>
      <c r="E911">
        <v>915</v>
      </c>
      <c r="F911" s="2">
        <v>262249.73</v>
      </c>
      <c r="G911" s="2">
        <v>222931.75</v>
      </c>
      <c r="H911" s="2">
        <v>4106</v>
      </c>
      <c r="I911" s="2">
        <v>226075.73</v>
      </c>
      <c r="J911" s="2">
        <v>36174</v>
      </c>
      <c r="K911" s="3">
        <v>30747.9</v>
      </c>
      <c r="L911" s="3">
        <v>5426.1</v>
      </c>
      <c r="M911" s="3">
        <v>34421.980000000003</v>
      </c>
      <c r="N911" s="4" t="s">
        <v>145</v>
      </c>
      <c r="O911" s="3" t="str">
        <f t="shared" si="35"/>
        <v>Online</v>
      </c>
      <c r="P911" s="11">
        <v>4239000</v>
      </c>
      <c r="Q911" s="3">
        <v>2316500000</v>
      </c>
      <c r="R911" s="3">
        <v>1492200000</v>
      </c>
      <c r="S911" s="11">
        <v>6035000</v>
      </c>
    </row>
    <row r="912" spans="1:19" x14ac:dyDescent="0.35">
      <c r="A912" s="1" t="s">
        <v>34</v>
      </c>
      <c r="B912" s="1" t="str">
        <f t="shared" si="34"/>
        <v>ICICI Bank</v>
      </c>
      <c r="C912">
        <v>163</v>
      </c>
      <c r="D912">
        <v>0</v>
      </c>
      <c r="E912">
        <v>414</v>
      </c>
      <c r="F912" s="2">
        <v>97564.42</v>
      </c>
      <c r="G912" s="2">
        <v>97564.42</v>
      </c>
      <c r="H912" s="2">
        <v>0</v>
      </c>
      <c r="I912" s="2">
        <v>88885.42</v>
      </c>
      <c r="J912" s="2">
        <v>8679</v>
      </c>
      <c r="K912" s="3">
        <v>7637.52</v>
      </c>
      <c r="L912" s="3">
        <v>1041.48</v>
      </c>
      <c r="M912" s="3">
        <v>0</v>
      </c>
      <c r="N912" s="4" t="s">
        <v>145</v>
      </c>
      <c r="O912" s="3" t="str">
        <f t="shared" si="35"/>
        <v>Offline - Box Office</v>
      </c>
      <c r="P912" s="11">
        <v>4239000</v>
      </c>
      <c r="Q912" s="3">
        <v>2316500000</v>
      </c>
      <c r="R912" s="3">
        <v>1492200000</v>
      </c>
      <c r="S912" s="11">
        <v>6035000</v>
      </c>
    </row>
    <row r="913" spans="1:19" x14ac:dyDescent="0.35">
      <c r="A913" s="1" t="s">
        <v>35</v>
      </c>
      <c r="B913" s="1" t="str">
        <f t="shared" si="34"/>
        <v>ICICI Bank</v>
      </c>
      <c r="C913">
        <v>23</v>
      </c>
      <c r="D913">
        <v>0</v>
      </c>
      <c r="E913">
        <v>60</v>
      </c>
      <c r="F913" s="2">
        <v>19747.28</v>
      </c>
      <c r="G913" s="2">
        <v>16010</v>
      </c>
      <c r="H913" s="2">
        <v>1205</v>
      </c>
      <c r="I913" s="2">
        <v>18455.28</v>
      </c>
      <c r="J913" s="2">
        <v>1292</v>
      </c>
      <c r="K913" s="3">
        <v>1098.2</v>
      </c>
      <c r="L913" s="3">
        <v>193.8</v>
      </c>
      <c r="M913" s="3">
        <v>2494.2800000000002</v>
      </c>
      <c r="N913" s="4" t="s">
        <v>145</v>
      </c>
      <c r="O913" s="3" t="str">
        <f t="shared" si="35"/>
        <v>Online</v>
      </c>
      <c r="P913" s="11">
        <v>4239000</v>
      </c>
      <c r="Q913" s="3">
        <v>2316500000</v>
      </c>
      <c r="R913" s="3">
        <v>1492200000</v>
      </c>
      <c r="S913" s="11">
        <v>6035000</v>
      </c>
    </row>
    <row r="914" spans="1:19" x14ac:dyDescent="0.35">
      <c r="A914" s="1" t="s">
        <v>48</v>
      </c>
      <c r="B914" s="1" t="str">
        <f t="shared" si="34"/>
        <v>IDBI Bank</v>
      </c>
      <c r="C914">
        <v>255</v>
      </c>
      <c r="D914">
        <v>0</v>
      </c>
      <c r="E914">
        <v>598</v>
      </c>
      <c r="F914" s="2">
        <v>148430.42000000001</v>
      </c>
      <c r="G914" s="2">
        <v>148430.42000000001</v>
      </c>
      <c r="H914" s="2">
        <v>0</v>
      </c>
      <c r="I914" s="2">
        <v>121546.42</v>
      </c>
      <c r="J914" s="2">
        <v>26884</v>
      </c>
      <c r="K914" s="3">
        <v>26884</v>
      </c>
      <c r="L914" s="3">
        <v>0</v>
      </c>
      <c r="M914" s="3">
        <v>0</v>
      </c>
      <c r="N914" s="4" t="s">
        <v>145</v>
      </c>
      <c r="O914" s="3" t="str">
        <f t="shared" si="35"/>
        <v>Offline - Box Office</v>
      </c>
      <c r="P914" s="11">
        <v>4239000</v>
      </c>
      <c r="Q914" s="3">
        <v>2316500000</v>
      </c>
      <c r="R914" s="3">
        <v>1492200000</v>
      </c>
      <c r="S914" s="11">
        <v>6035000</v>
      </c>
    </row>
    <row r="915" spans="1:19" x14ac:dyDescent="0.35">
      <c r="A915" s="1" t="s">
        <v>37</v>
      </c>
      <c r="B915" s="1" t="str">
        <f t="shared" si="34"/>
        <v>IDBI Bank</v>
      </c>
      <c r="C915">
        <v>173</v>
      </c>
      <c r="D915">
        <v>0</v>
      </c>
      <c r="E915">
        <v>359</v>
      </c>
      <c r="F915" s="2">
        <v>115957.41</v>
      </c>
      <c r="G915" s="2">
        <v>98048.59</v>
      </c>
      <c r="H915" s="2">
        <v>4308</v>
      </c>
      <c r="I915" s="2">
        <v>96455.41</v>
      </c>
      <c r="J915" s="2">
        <v>19502</v>
      </c>
      <c r="K915" s="3">
        <v>19502</v>
      </c>
      <c r="L915" s="3">
        <v>0</v>
      </c>
      <c r="M915" s="3">
        <v>13368.82</v>
      </c>
      <c r="N915" s="4" t="s">
        <v>145</v>
      </c>
      <c r="O915" s="3" t="str">
        <f t="shared" si="35"/>
        <v>Online</v>
      </c>
      <c r="P915" s="11">
        <v>4239000</v>
      </c>
      <c r="Q915" s="3">
        <v>2316500000</v>
      </c>
      <c r="R915" s="3">
        <v>1492200000</v>
      </c>
      <c r="S915" s="11">
        <v>6035000</v>
      </c>
    </row>
    <row r="916" spans="1:19" x14ac:dyDescent="0.35">
      <c r="A916" s="1" t="s">
        <v>49</v>
      </c>
      <c r="B916" s="1" t="str">
        <f t="shared" si="34"/>
        <v>IDBI Bank</v>
      </c>
      <c r="C916">
        <v>286</v>
      </c>
      <c r="D916">
        <v>0</v>
      </c>
      <c r="E916">
        <v>727</v>
      </c>
      <c r="F916" s="2">
        <v>186753.05</v>
      </c>
      <c r="G916" s="2">
        <v>0</v>
      </c>
      <c r="H916" s="2">
        <v>186753.05</v>
      </c>
      <c r="I916" s="2">
        <v>153643.04999999999</v>
      </c>
      <c r="J916" s="2">
        <v>33110</v>
      </c>
      <c r="K916" s="3">
        <v>23177</v>
      </c>
      <c r="L916" s="3">
        <v>9933</v>
      </c>
      <c r="M916" s="3">
        <v>0</v>
      </c>
      <c r="N916" s="4" t="s">
        <v>145</v>
      </c>
      <c r="O916" s="3" t="str">
        <f t="shared" si="35"/>
        <v>Offline - F&amp;B</v>
      </c>
      <c r="P916" s="11">
        <v>4239000</v>
      </c>
      <c r="Q916" s="3">
        <v>2316500000</v>
      </c>
      <c r="R916" s="3">
        <v>1492200000</v>
      </c>
      <c r="S916" s="11">
        <v>6035000</v>
      </c>
    </row>
    <row r="917" spans="1:19" x14ac:dyDescent="0.35">
      <c r="A917" s="1" t="s">
        <v>52</v>
      </c>
      <c r="B917" s="1" t="str">
        <f t="shared" si="34"/>
        <v>Kotak Mahindra Bank</v>
      </c>
      <c r="C917">
        <v>7</v>
      </c>
      <c r="D917">
        <v>7</v>
      </c>
      <c r="E917">
        <v>14</v>
      </c>
      <c r="F917" s="2">
        <v>12589.8</v>
      </c>
      <c r="G917" s="2">
        <v>11500</v>
      </c>
      <c r="H917" s="2">
        <v>0</v>
      </c>
      <c r="I917" s="2">
        <v>7239.8</v>
      </c>
      <c r="J917" s="2">
        <v>5350</v>
      </c>
      <c r="K917" s="3">
        <v>5350</v>
      </c>
      <c r="L917" s="3">
        <v>0</v>
      </c>
      <c r="M917" s="3">
        <v>1073.8</v>
      </c>
      <c r="N917" s="4" t="s">
        <v>145</v>
      </c>
      <c r="O917" s="3" t="str">
        <f t="shared" si="35"/>
        <v>Online</v>
      </c>
      <c r="P917" s="11">
        <v>4239000</v>
      </c>
      <c r="Q917" s="3">
        <v>2316500000</v>
      </c>
      <c r="R917" s="3">
        <v>1492200000</v>
      </c>
      <c r="S917" s="11">
        <v>6035000</v>
      </c>
    </row>
    <row r="918" spans="1:19" x14ac:dyDescent="0.35">
      <c r="A918" s="1" t="s">
        <v>134</v>
      </c>
      <c r="B918" s="1" t="str">
        <f t="shared" si="34"/>
        <v>Kotak Mahindra Bank</v>
      </c>
      <c r="C918">
        <v>120</v>
      </c>
      <c r="D918">
        <v>120</v>
      </c>
      <c r="E918">
        <v>265</v>
      </c>
      <c r="F918" s="2">
        <v>69643.67</v>
      </c>
      <c r="G918" s="2">
        <v>58658.45</v>
      </c>
      <c r="H918" s="2">
        <v>1448</v>
      </c>
      <c r="I918" s="2">
        <v>44967.69</v>
      </c>
      <c r="J918" s="2">
        <v>24675.98</v>
      </c>
      <c r="K918" s="3">
        <v>24675.98</v>
      </c>
      <c r="L918" s="3">
        <v>0</v>
      </c>
      <c r="M918" s="3">
        <v>9259.2199999999993</v>
      </c>
      <c r="N918" s="4" t="s">
        <v>145</v>
      </c>
      <c r="O918" s="3" t="str">
        <f t="shared" si="35"/>
        <v>Online</v>
      </c>
      <c r="P918" s="11">
        <v>4239000</v>
      </c>
      <c r="Q918" s="3">
        <v>2316500000</v>
      </c>
      <c r="R918" s="3">
        <v>1492200000</v>
      </c>
      <c r="S918" s="11">
        <v>6035000</v>
      </c>
    </row>
    <row r="919" spans="1:19" x14ac:dyDescent="0.35">
      <c r="A919" s="1" t="s">
        <v>130</v>
      </c>
      <c r="B919" s="1" t="str">
        <f t="shared" ref="B919:B982" si="36">IF(ISNUMBER(SEARCH("AXIS",A919)),"Axis Bank",
IF(ISNUMBER(SEARCH("HDFC",A919)),"HDFC Bank",
IF(ISNUMBER(SEARCH("ICICI",A919)),"ICICI Bank",
IF(ISNUMBER(SEARCH("AU",A919)),"AU Bank",
IF(ISNUMBER(SEARCH("KOTAK",A919)),"Kotak Mahindra Bank",
IF(ISNUMBER(SEARCH("SBI",A919)),"State Bank of India",
IF(ISNUMBER(SEARCH("HSBC",A919)),"HSBC",
IF(ISNUMBER(SEARCH("DBS",A919)),"DBS Bank",
IF(ISNUMBER(SEARCH("SCAPIA",A919)),"Scapia",
IF(ISNUMBER(SEARCH("STANDARD CHARTERED",A919)),"Standard Chartered Bank",
IF(ISNUMBER(SEARCH("IDBI",A919)),"IDBI Bank",
IF(ISNUMBER(SEARCH("J&amp;K",A919)),"J&amp;K Bank",
IF(ISNUMBER(SEARCH("JAMMU",A919)),"J&amp;K Bank",
IF(ISNUMBER(SEARCH("FEDERAL",A919)),"Federal Bank",
IF(ISNUMBER(SEARCH("BOBCARD",A919)),"BOB Card",
IF(ISNUMBER(SEARCH("BANK OF BARODA",A919)),"BOB Card",
IF(ISNUMBER(SEARCH("AMEX",A919)),"American Express",
IF(ISNUMBER(SEARCH("PLATINUM",A919)),"American Express",
IF(ISNUMBER(SEARCH("CENTURION",A919)),"American Express",
IF(ISNUMBER(SEARCH("VISA",A919)),"Visa",
IF(ISNUMBER(SEARCH("MASTERCARD",A919)),"Mastercard",
"")))))))))))))))))))))</f>
        <v>Kotak Mahindra Bank</v>
      </c>
      <c r="C919">
        <v>68</v>
      </c>
      <c r="D919">
        <v>68</v>
      </c>
      <c r="E919">
        <v>155</v>
      </c>
      <c r="F919" s="2">
        <v>107251.24</v>
      </c>
      <c r="G919" s="2">
        <v>96733</v>
      </c>
      <c r="H919" s="2">
        <v>0</v>
      </c>
      <c r="I919" s="2">
        <v>66525.240000000005</v>
      </c>
      <c r="J919" s="2">
        <v>40726</v>
      </c>
      <c r="K919" s="3">
        <v>40726</v>
      </c>
      <c r="L919" s="3">
        <v>0</v>
      </c>
      <c r="M919" s="3">
        <v>10356.24</v>
      </c>
      <c r="N919" s="4" t="s">
        <v>145</v>
      </c>
      <c r="O919" s="3" t="str">
        <f t="shared" si="35"/>
        <v>Online</v>
      </c>
      <c r="P919" s="11">
        <v>4239000</v>
      </c>
      <c r="Q919" s="3">
        <v>2316500000</v>
      </c>
      <c r="R919" s="3">
        <v>1492200000</v>
      </c>
      <c r="S919" s="11">
        <v>6035000</v>
      </c>
    </row>
    <row r="920" spans="1:19" x14ac:dyDescent="0.35">
      <c r="A920" s="1" t="s">
        <v>38</v>
      </c>
      <c r="B920" s="1" t="str">
        <f t="shared" si="36"/>
        <v>Kotak Mahindra Bank</v>
      </c>
      <c r="C920">
        <v>11171</v>
      </c>
      <c r="D920">
        <v>0</v>
      </c>
      <c r="E920">
        <v>25501</v>
      </c>
      <c r="F920" s="2">
        <v>6617902.3200000003</v>
      </c>
      <c r="G920" s="2">
        <v>324450.19</v>
      </c>
      <c r="H920" s="2">
        <v>6290637.4100000001</v>
      </c>
      <c r="I920" s="2">
        <v>5298291.32</v>
      </c>
      <c r="J920" s="2">
        <v>1319611</v>
      </c>
      <c r="K920" s="3">
        <v>0</v>
      </c>
      <c r="L920" s="3">
        <v>1319611</v>
      </c>
      <c r="M920" s="3">
        <v>2760.72</v>
      </c>
      <c r="N920" s="4" t="s">
        <v>145</v>
      </c>
      <c r="O920" s="3" t="str">
        <f t="shared" si="35"/>
        <v>Other</v>
      </c>
      <c r="P920" s="11">
        <v>4239000</v>
      </c>
      <c r="Q920" s="3">
        <v>2316500000</v>
      </c>
      <c r="R920" s="3">
        <v>1492200000</v>
      </c>
      <c r="S920" s="11">
        <v>6035000</v>
      </c>
    </row>
    <row r="921" spans="1:19" x14ac:dyDescent="0.35">
      <c r="A921" s="1" t="s">
        <v>58</v>
      </c>
      <c r="B921" s="1" t="str">
        <f t="shared" si="36"/>
        <v>Kotak Mahindra Bank</v>
      </c>
      <c r="C921">
        <v>680</v>
      </c>
      <c r="D921">
        <v>0</v>
      </c>
      <c r="E921">
        <v>1554</v>
      </c>
      <c r="F921" s="2">
        <v>475877.44</v>
      </c>
      <c r="G921" s="2">
        <v>423951.14</v>
      </c>
      <c r="H921" s="2">
        <v>1330</v>
      </c>
      <c r="I921" s="2">
        <v>466698.48</v>
      </c>
      <c r="J921" s="2">
        <v>9418</v>
      </c>
      <c r="K921" s="3">
        <v>0</v>
      </c>
      <c r="L921" s="3">
        <v>9418</v>
      </c>
      <c r="M921" s="3">
        <v>49947.42</v>
      </c>
      <c r="N921" s="4" t="s">
        <v>145</v>
      </c>
      <c r="O921" s="3" t="str">
        <f t="shared" si="35"/>
        <v>Other</v>
      </c>
      <c r="P921" s="11">
        <v>4239000</v>
      </c>
      <c r="Q921" s="3">
        <v>2316500000</v>
      </c>
      <c r="R921" s="3">
        <v>1492200000</v>
      </c>
      <c r="S921" s="11">
        <v>6035000</v>
      </c>
    </row>
    <row r="922" spans="1:19" x14ac:dyDescent="0.35">
      <c r="A922" s="1" t="s">
        <v>135</v>
      </c>
      <c r="B922" s="1" t="str">
        <f t="shared" si="36"/>
        <v>Kotak Mahindra Bank</v>
      </c>
      <c r="C922">
        <v>49</v>
      </c>
      <c r="D922">
        <v>49</v>
      </c>
      <c r="E922">
        <v>106</v>
      </c>
      <c r="F922" s="2">
        <v>93246.5</v>
      </c>
      <c r="G922" s="2">
        <v>84296</v>
      </c>
      <c r="H922" s="2">
        <v>1309</v>
      </c>
      <c r="I922" s="2">
        <v>53743.5</v>
      </c>
      <c r="J922" s="2">
        <v>39503</v>
      </c>
      <c r="K922" s="3">
        <v>39503</v>
      </c>
      <c r="L922" s="3">
        <v>0</v>
      </c>
      <c r="M922" s="3">
        <v>7509.5</v>
      </c>
      <c r="N922" s="4" t="s">
        <v>145</v>
      </c>
      <c r="O922" s="3" t="str">
        <f t="shared" si="35"/>
        <v>Online</v>
      </c>
      <c r="P922" s="11">
        <v>4239000</v>
      </c>
      <c r="Q922" s="3">
        <v>2316500000</v>
      </c>
      <c r="R922" s="3">
        <v>1492200000</v>
      </c>
      <c r="S922" s="11">
        <v>6035000</v>
      </c>
    </row>
    <row r="923" spans="1:19" x14ac:dyDescent="0.35">
      <c r="A923" s="1" t="s">
        <v>40</v>
      </c>
      <c r="B923" s="1" t="str">
        <f t="shared" si="36"/>
        <v>Standard Chartered Bank</v>
      </c>
      <c r="C923">
        <v>5</v>
      </c>
      <c r="D923">
        <v>5</v>
      </c>
      <c r="E923">
        <v>10</v>
      </c>
      <c r="F923" s="2">
        <v>2304.98</v>
      </c>
      <c r="G923" s="2">
        <v>2304.98</v>
      </c>
      <c r="H923" s="2">
        <v>0</v>
      </c>
      <c r="I923" s="2">
        <v>1304.98</v>
      </c>
      <c r="J923" s="2">
        <v>1000</v>
      </c>
      <c r="K923" s="3">
        <v>1000</v>
      </c>
      <c r="L923" s="3">
        <v>0</v>
      </c>
      <c r="M923" s="3">
        <v>0</v>
      </c>
      <c r="N923" s="4" t="s">
        <v>145</v>
      </c>
      <c r="O923" s="3" t="str">
        <f t="shared" si="35"/>
        <v>Offline - Box Office</v>
      </c>
      <c r="P923" s="11">
        <v>4239000</v>
      </c>
      <c r="Q923" s="3">
        <v>2316500000</v>
      </c>
      <c r="R923" s="3">
        <v>1492200000</v>
      </c>
      <c r="S923" s="11">
        <v>6035000</v>
      </c>
    </row>
    <row r="924" spans="1:19" x14ac:dyDescent="0.35">
      <c r="A924" s="1" t="s">
        <v>41</v>
      </c>
      <c r="B924" s="1" t="str">
        <f t="shared" si="36"/>
        <v>Standard Chartered Bank</v>
      </c>
      <c r="C924">
        <v>32</v>
      </c>
      <c r="D924">
        <v>32</v>
      </c>
      <c r="E924">
        <v>66</v>
      </c>
      <c r="F924" s="2">
        <v>17183.419999999998</v>
      </c>
      <c r="G924" s="2">
        <v>14928.76</v>
      </c>
      <c r="H924" s="2">
        <v>0</v>
      </c>
      <c r="I924" s="2">
        <v>11186.54</v>
      </c>
      <c r="J924" s="2">
        <v>5996.88</v>
      </c>
      <c r="K924" s="3">
        <v>5996.88</v>
      </c>
      <c r="L924" s="3">
        <v>0</v>
      </c>
      <c r="M924" s="3">
        <v>2226.66</v>
      </c>
      <c r="N924" s="4" t="s">
        <v>145</v>
      </c>
      <c r="O924" s="3" t="str">
        <f t="shared" si="35"/>
        <v>Online</v>
      </c>
      <c r="P924" s="11">
        <v>4239000</v>
      </c>
      <c r="Q924" s="3">
        <v>2316500000</v>
      </c>
      <c r="R924" s="3">
        <v>1492200000</v>
      </c>
      <c r="S924" s="11">
        <v>6035000</v>
      </c>
    </row>
    <row r="925" spans="1:19" x14ac:dyDescent="0.35">
      <c r="A925" s="1" t="s">
        <v>141</v>
      </c>
      <c r="B925" s="1" t="str">
        <f t="shared" si="36"/>
        <v>Mastercard</v>
      </c>
      <c r="C925">
        <v>127</v>
      </c>
      <c r="D925">
        <v>0</v>
      </c>
      <c r="E925">
        <v>409</v>
      </c>
      <c r="F925" s="2">
        <v>159289.60000000001</v>
      </c>
      <c r="G925" s="2">
        <v>159289.60000000001</v>
      </c>
      <c r="H925" s="2">
        <v>0</v>
      </c>
      <c r="I925" s="2">
        <v>134174.6</v>
      </c>
      <c r="J925" s="2">
        <v>25115</v>
      </c>
      <c r="K925" s="3">
        <v>25115</v>
      </c>
      <c r="L925" s="3">
        <v>0</v>
      </c>
      <c r="M925" s="3">
        <v>0</v>
      </c>
      <c r="N925" s="4" t="s">
        <v>145</v>
      </c>
      <c r="O925" s="3" t="str">
        <f t="shared" si="35"/>
        <v>Offline - Box Office</v>
      </c>
      <c r="P925" s="11">
        <v>4239000</v>
      </c>
      <c r="Q925" s="3">
        <v>2316500000</v>
      </c>
      <c r="R925" s="3">
        <v>1492200000</v>
      </c>
      <c r="S925" s="11">
        <v>6035000</v>
      </c>
    </row>
    <row r="926" spans="1:19" x14ac:dyDescent="0.35">
      <c r="A926" s="1" t="s">
        <v>142</v>
      </c>
      <c r="B926" s="1" t="str">
        <f t="shared" si="36"/>
        <v>Mastercard</v>
      </c>
      <c r="C926">
        <v>405</v>
      </c>
      <c r="D926">
        <v>0</v>
      </c>
      <c r="E926">
        <v>1491</v>
      </c>
      <c r="F926" s="2">
        <v>477667.32</v>
      </c>
      <c r="G926" s="2">
        <v>0</v>
      </c>
      <c r="H926" s="2">
        <v>477667.32</v>
      </c>
      <c r="I926" s="2">
        <v>396997.32</v>
      </c>
      <c r="J926" s="2">
        <v>80670</v>
      </c>
      <c r="K926" s="3">
        <v>80670</v>
      </c>
      <c r="L926" s="3">
        <v>0</v>
      </c>
      <c r="M926" s="3">
        <v>0</v>
      </c>
      <c r="N926" s="4" t="s">
        <v>145</v>
      </c>
      <c r="O926" s="3" t="str">
        <f t="shared" si="35"/>
        <v>Offline - F&amp;B</v>
      </c>
      <c r="P926" s="11">
        <v>4239000</v>
      </c>
      <c r="Q926" s="3">
        <v>2316500000</v>
      </c>
      <c r="R926" s="3">
        <v>1492200000</v>
      </c>
      <c r="S926" s="11">
        <v>6035000</v>
      </c>
    </row>
    <row r="927" spans="1:19" x14ac:dyDescent="0.35">
      <c r="A927" s="1" t="s">
        <v>125</v>
      </c>
      <c r="B927" s="1" t="str">
        <f t="shared" si="36"/>
        <v>HDFC Bank</v>
      </c>
      <c r="C927">
        <v>1599</v>
      </c>
      <c r="D927">
        <v>0</v>
      </c>
      <c r="E927">
        <v>9309</v>
      </c>
      <c r="F927" s="2">
        <v>3318719.94</v>
      </c>
      <c r="G927" s="2">
        <v>1383336.23</v>
      </c>
      <c r="H927" s="2">
        <v>1907078.61</v>
      </c>
      <c r="I927" s="2">
        <v>3174640.94</v>
      </c>
      <c r="J927" s="2">
        <v>144079</v>
      </c>
      <c r="K927" s="3">
        <v>0</v>
      </c>
      <c r="L927" s="3">
        <v>144079</v>
      </c>
      <c r="M927" s="3">
        <v>28075.96</v>
      </c>
      <c r="N927" s="4" t="s">
        <v>145</v>
      </c>
      <c r="O927" s="3" t="str">
        <f t="shared" si="35"/>
        <v>Other</v>
      </c>
      <c r="P927" s="11">
        <v>4239000</v>
      </c>
      <c r="Q927" s="3">
        <v>2316500000</v>
      </c>
      <c r="R927" s="3">
        <v>1492200000</v>
      </c>
      <c r="S927" s="11">
        <v>6035000</v>
      </c>
    </row>
    <row r="928" spans="1:19" x14ac:dyDescent="0.35">
      <c r="A928" s="1" t="s">
        <v>137</v>
      </c>
      <c r="B928" s="1" t="str">
        <f t="shared" si="36"/>
        <v>Axis Bank</v>
      </c>
      <c r="C928">
        <v>100</v>
      </c>
      <c r="D928">
        <v>0</v>
      </c>
      <c r="E928">
        <v>221</v>
      </c>
      <c r="F928" s="2">
        <v>108454.92</v>
      </c>
      <c r="G928" s="2">
        <v>95519.3</v>
      </c>
      <c r="H928" s="2">
        <v>1253</v>
      </c>
      <c r="I928" s="2">
        <v>85656.92</v>
      </c>
      <c r="J928" s="2">
        <v>22798</v>
      </c>
      <c r="K928" s="3">
        <v>13678.8</v>
      </c>
      <c r="L928" s="3">
        <v>9119.2000000000007</v>
      </c>
      <c r="M928" s="3">
        <v>11418.62</v>
      </c>
      <c r="N928" s="4" t="s">
        <v>146</v>
      </c>
      <c r="O928" s="3" t="str">
        <f t="shared" si="35"/>
        <v>Online</v>
      </c>
      <c r="P928" s="11">
        <v>9669000</v>
      </c>
      <c r="Q928" s="3">
        <v>7128600000</v>
      </c>
      <c r="R928" s="3">
        <v>4730700000</v>
      </c>
      <c r="S928" s="11">
        <v>13100000</v>
      </c>
    </row>
    <row r="929" spans="1:19" x14ac:dyDescent="0.35">
      <c r="A929" s="1" t="s">
        <v>91</v>
      </c>
      <c r="B929" s="1" t="str">
        <f t="shared" si="36"/>
        <v>American Express</v>
      </c>
      <c r="C929">
        <v>240</v>
      </c>
      <c r="D929">
        <v>240</v>
      </c>
      <c r="E929">
        <v>639</v>
      </c>
      <c r="F929" s="2">
        <v>544875.53</v>
      </c>
      <c r="G929" s="2">
        <v>544875.53</v>
      </c>
      <c r="H929" s="2">
        <v>0</v>
      </c>
      <c r="I929" s="2">
        <v>445252.75</v>
      </c>
      <c r="J929" s="2">
        <v>99622.78</v>
      </c>
      <c r="K929" s="3">
        <v>49811.42</v>
      </c>
      <c r="L929" s="3">
        <v>49811.42</v>
      </c>
      <c r="M929" s="3">
        <v>0</v>
      </c>
      <c r="N929" s="4" t="s">
        <v>146</v>
      </c>
      <c r="O929" s="3" t="str">
        <f t="shared" si="35"/>
        <v>Offline - Box Office</v>
      </c>
      <c r="P929" s="11">
        <v>9669000</v>
      </c>
      <c r="Q929" s="3">
        <v>7128600000</v>
      </c>
      <c r="R929" s="3">
        <v>4730700000</v>
      </c>
      <c r="S929" s="11">
        <v>13100000</v>
      </c>
    </row>
    <row r="930" spans="1:19" x14ac:dyDescent="0.35">
      <c r="A930" s="1" t="s">
        <v>93</v>
      </c>
      <c r="B930" s="1" t="str">
        <f t="shared" si="36"/>
        <v>American Express</v>
      </c>
      <c r="C930">
        <v>2174</v>
      </c>
      <c r="D930">
        <v>2174</v>
      </c>
      <c r="E930">
        <v>5588</v>
      </c>
      <c r="F930" s="2">
        <v>5097114.26</v>
      </c>
      <c r="G930" s="2">
        <v>4681755.88</v>
      </c>
      <c r="H930" s="2">
        <v>43809</v>
      </c>
      <c r="I930" s="2">
        <v>4111601.11</v>
      </c>
      <c r="J930" s="2">
        <v>985513.15</v>
      </c>
      <c r="K930" s="3">
        <v>492756.81</v>
      </c>
      <c r="L930" s="3">
        <v>492756.81</v>
      </c>
      <c r="M930" s="3">
        <v>364391.38</v>
      </c>
      <c r="N930" s="4" t="s">
        <v>146</v>
      </c>
      <c r="O930" s="3" t="str">
        <f t="shared" si="35"/>
        <v>Online</v>
      </c>
      <c r="P930" s="11">
        <v>9669000</v>
      </c>
      <c r="Q930" s="3">
        <v>7128600000</v>
      </c>
      <c r="R930" s="3">
        <v>4730700000</v>
      </c>
      <c r="S930" s="11">
        <v>13100000</v>
      </c>
    </row>
    <row r="931" spans="1:19" x14ac:dyDescent="0.35">
      <c r="A931" s="1" t="s">
        <v>43</v>
      </c>
      <c r="B931" s="1" t="str">
        <f t="shared" si="36"/>
        <v>Axis Bank</v>
      </c>
      <c r="C931">
        <v>23</v>
      </c>
      <c r="D931">
        <v>23</v>
      </c>
      <c r="E931">
        <v>56</v>
      </c>
      <c r="F931" s="2">
        <v>24132.58</v>
      </c>
      <c r="G931" s="2">
        <v>24132.58</v>
      </c>
      <c r="H931" s="2">
        <v>0</v>
      </c>
      <c r="I931" s="2">
        <v>19548.78</v>
      </c>
      <c r="J931" s="2">
        <v>4583.8</v>
      </c>
      <c r="K931" s="3">
        <v>4033.74</v>
      </c>
      <c r="L931" s="3">
        <v>550.05999999999995</v>
      </c>
      <c r="M931" s="3">
        <v>0</v>
      </c>
      <c r="N931" s="4" t="s">
        <v>146</v>
      </c>
      <c r="O931" s="3" t="str">
        <f t="shared" si="35"/>
        <v>Offline - Box Office</v>
      </c>
      <c r="P931" s="11">
        <v>9669000</v>
      </c>
      <c r="Q931" s="3">
        <v>7128600000</v>
      </c>
      <c r="R931" s="3">
        <v>4730700000</v>
      </c>
      <c r="S931" s="11">
        <v>13100000</v>
      </c>
    </row>
    <row r="932" spans="1:19" x14ac:dyDescent="0.35">
      <c r="A932" s="1" t="s">
        <v>23</v>
      </c>
      <c r="B932" s="1" t="str">
        <f t="shared" si="36"/>
        <v>Axis Bank</v>
      </c>
      <c r="C932">
        <v>41</v>
      </c>
      <c r="D932">
        <v>41</v>
      </c>
      <c r="E932">
        <v>97</v>
      </c>
      <c r="F932" s="2">
        <v>46170.14</v>
      </c>
      <c r="G932" s="2">
        <v>39981.919999999998</v>
      </c>
      <c r="H932" s="2">
        <v>1072</v>
      </c>
      <c r="I932" s="2">
        <v>38217.74</v>
      </c>
      <c r="J932" s="2">
        <v>7952.4</v>
      </c>
      <c r="K932" s="3">
        <v>6759.54</v>
      </c>
      <c r="L932" s="3">
        <v>1192.8599999999999</v>
      </c>
      <c r="M932" s="3">
        <v>5040.22</v>
      </c>
      <c r="N932" s="4" t="s">
        <v>146</v>
      </c>
      <c r="O932" s="3" t="str">
        <f t="shared" si="35"/>
        <v>Online</v>
      </c>
      <c r="P932" s="11">
        <v>9669000</v>
      </c>
      <c r="Q932" s="3">
        <v>7128600000</v>
      </c>
      <c r="R932" s="3">
        <v>4730700000</v>
      </c>
      <c r="S932" s="11">
        <v>13100000</v>
      </c>
    </row>
    <row r="933" spans="1:19" x14ac:dyDescent="0.35">
      <c r="A933" s="1" t="s">
        <v>44</v>
      </c>
      <c r="B933" s="1" t="str">
        <f t="shared" si="36"/>
        <v>Axis Bank</v>
      </c>
      <c r="C933">
        <v>254</v>
      </c>
      <c r="D933">
        <v>254</v>
      </c>
      <c r="E933">
        <v>609</v>
      </c>
      <c r="F933" s="2">
        <v>197042.99</v>
      </c>
      <c r="G933" s="2">
        <v>197042.99</v>
      </c>
      <c r="H933" s="2">
        <v>0</v>
      </c>
      <c r="I933" s="2">
        <v>148572.64000000001</v>
      </c>
      <c r="J933" s="2">
        <v>48470.35</v>
      </c>
      <c r="K933" s="3">
        <v>42653.79</v>
      </c>
      <c r="L933" s="3">
        <v>5816.56</v>
      </c>
      <c r="M933" s="3">
        <v>0</v>
      </c>
      <c r="N933" s="4" t="s">
        <v>146</v>
      </c>
      <c r="O933" s="3" t="str">
        <f t="shared" si="35"/>
        <v>Offline - Box Office</v>
      </c>
      <c r="P933" s="11">
        <v>9669000</v>
      </c>
      <c r="Q933" s="3">
        <v>7128600000</v>
      </c>
      <c r="R933" s="3">
        <v>4730700000</v>
      </c>
      <c r="S933" s="11">
        <v>13100000</v>
      </c>
    </row>
    <row r="934" spans="1:19" x14ac:dyDescent="0.35">
      <c r="A934" s="1" t="s">
        <v>24</v>
      </c>
      <c r="B934" s="1" t="str">
        <f t="shared" si="36"/>
        <v>Axis Bank</v>
      </c>
      <c r="C934">
        <v>1372</v>
      </c>
      <c r="D934">
        <v>1372</v>
      </c>
      <c r="E934">
        <v>3103</v>
      </c>
      <c r="F934" s="2">
        <v>1135104.99</v>
      </c>
      <c r="G934" s="2">
        <v>985876.51</v>
      </c>
      <c r="H934" s="2">
        <v>8208</v>
      </c>
      <c r="I934" s="2">
        <v>870960.75</v>
      </c>
      <c r="J934" s="2">
        <v>264144.24</v>
      </c>
      <c r="K934" s="3">
        <v>224522.61</v>
      </c>
      <c r="L934" s="3">
        <v>39621.629999999997</v>
      </c>
      <c r="M934" s="3">
        <v>138560.48000000001</v>
      </c>
      <c r="N934" s="4" t="s">
        <v>146</v>
      </c>
      <c r="O934" s="3" t="str">
        <f t="shared" si="35"/>
        <v>Online</v>
      </c>
      <c r="P934" s="11">
        <v>9669000</v>
      </c>
      <c r="Q934" s="3">
        <v>7128600000</v>
      </c>
      <c r="R934" s="3">
        <v>4730700000</v>
      </c>
      <c r="S934" s="11">
        <v>13100000</v>
      </c>
    </row>
    <row r="935" spans="1:19" x14ac:dyDescent="0.35">
      <c r="A935" s="1" t="s">
        <v>139</v>
      </c>
      <c r="B935" s="1" t="str">
        <f t="shared" si="36"/>
        <v>BOB Card</v>
      </c>
      <c r="C935">
        <v>2</v>
      </c>
      <c r="D935">
        <v>0</v>
      </c>
      <c r="E935">
        <v>5</v>
      </c>
      <c r="F935" s="2">
        <v>1960</v>
      </c>
      <c r="G935" s="2">
        <v>0</v>
      </c>
      <c r="H935" s="2">
        <v>1960</v>
      </c>
      <c r="I935" s="2">
        <v>1764</v>
      </c>
      <c r="J935" s="2">
        <v>196</v>
      </c>
      <c r="K935" s="3">
        <v>137.19999999999999</v>
      </c>
      <c r="L935" s="3">
        <v>58.8</v>
      </c>
      <c r="M935" s="3">
        <v>0</v>
      </c>
      <c r="N935" s="4" t="s">
        <v>146</v>
      </c>
      <c r="O935" s="3" t="str">
        <f t="shared" si="35"/>
        <v>Offline - F&amp;B</v>
      </c>
      <c r="P935" s="11">
        <v>9669000</v>
      </c>
      <c r="Q935" s="3">
        <v>7128600000</v>
      </c>
      <c r="R935" s="3">
        <v>4730700000</v>
      </c>
      <c r="S935" s="11">
        <v>13100000</v>
      </c>
    </row>
    <row r="936" spans="1:19" x14ac:dyDescent="0.35">
      <c r="A936" s="1" t="s">
        <v>54</v>
      </c>
      <c r="B936" s="1" t="str">
        <f t="shared" si="36"/>
        <v>BOB Card</v>
      </c>
      <c r="C936">
        <v>139</v>
      </c>
      <c r="D936">
        <v>0</v>
      </c>
      <c r="E936">
        <v>272</v>
      </c>
      <c r="F936" s="2">
        <v>138874.79999999999</v>
      </c>
      <c r="G936" s="2">
        <v>122922.18</v>
      </c>
      <c r="H936" s="2">
        <v>14549</v>
      </c>
      <c r="I936" s="2">
        <v>126160.8</v>
      </c>
      <c r="J936" s="2">
        <v>12714</v>
      </c>
      <c r="K936" s="3">
        <v>8899.7999999999993</v>
      </c>
      <c r="L936" s="3">
        <v>3814.2</v>
      </c>
      <c r="M936" s="3">
        <v>1367.62</v>
      </c>
      <c r="N936" s="4" t="s">
        <v>146</v>
      </c>
      <c r="O936" s="3" t="str">
        <f t="shared" si="35"/>
        <v>Online</v>
      </c>
      <c r="P936" s="11">
        <v>9669000</v>
      </c>
      <c r="Q936" s="3">
        <v>7128600000</v>
      </c>
      <c r="R936" s="3">
        <v>4730700000</v>
      </c>
      <c r="S936" s="11">
        <v>13100000</v>
      </c>
    </row>
    <row r="937" spans="1:19" x14ac:dyDescent="0.35">
      <c r="A937" s="1" t="s">
        <v>55</v>
      </c>
      <c r="B937" s="1" t="str">
        <f t="shared" si="36"/>
        <v>BOB Card</v>
      </c>
      <c r="C937">
        <v>1148</v>
      </c>
      <c r="D937">
        <v>0</v>
      </c>
      <c r="E937">
        <v>3461</v>
      </c>
      <c r="F937" s="2">
        <v>1152529.77</v>
      </c>
      <c r="G937" s="2">
        <v>0</v>
      </c>
      <c r="H937" s="2">
        <v>1152529.77</v>
      </c>
      <c r="I937" s="2">
        <v>1040255.77</v>
      </c>
      <c r="J937" s="2">
        <v>112274</v>
      </c>
      <c r="K937" s="3">
        <v>78591.8</v>
      </c>
      <c r="L937" s="3">
        <v>33682.199999999997</v>
      </c>
      <c r="M937" s="3">
        <v>0</v>
      </c>
      <c r="N937" s="4" t="s">
        <v>146</v>
      </c>
      <c r="O937" s="3" t="str">
        <f t="shared" si="35"/>
        <v>Offline - F&amp;B</v>
      </c>
      <c r="P937" s="11">
        <v>9669000</v>
      </c>
      <c r="Q937" s="3">
        <v>7128600000</v>
      </c>
      <c r="R937" s="3">
        <v>4730700000</v>
      </c>
      <c r="S937" s="11">
        <v>13100000</v>
      </c>
    </row>
    <row r="938" spans="1:19" x14ac:dyDescent="0.35">
      <c r="A938" s="1" t="s">
        <v>119</v>
      </c>
      <c r="B938" s="1" t="str">
        <f t="shared" si="36"/>
        <v>AU Bank</v>
      </c>
      <c r="C938">
        <v>24</v>
      </c>
      <c r="D938">
        <v>24</v>
      </c>
      <c r="E938">
        <v>55</v>
      </c>
      <c r="F938" s="2">
        <v>21850</v>
      </c>
      <c r="G938" s="2">
        <v>21850</v>
      </c>
      <c r="H938" s="2">
        <v>0</v>
      </c>
      <c r="I938" s="2">
        <v>16418</v>
      </c>
      <c r="J938" s="2">
        <v>5432</v>
      </c>
      <c r="K938" s="3">
        <v>3802.4</v>
      </c>
      <c r="L938" s="3">
        <v>1629.6</v>
      </c>
      <c r="M938" s="3">
        <v>0</v>
      </c>
      <c r="N938" s="4" t="s">
        <v>146</v>
      </c>
      <c r="O938" s="3" t="str">
        <f t="shared" si="35"/>
        <v>Offline - Box Office</v>
      </c>
      <c r="P938" s="11">
        <v>9669000</v>
      </c>
      <c r="Q938" s="3">
        <v>7128600000</v>
      </c>
      <c r="R938" s="3">
        <v>4730700000</v>
      </c>
      <c r="S938" s="11">
        <v>13100000</v>
      </c>
    </row>
    <row r="939" spans="1:19" x14ac:dyDescent="0.35">
      <c r="A939" s="1" t="s">
        <v>120</v>
      </c>
      <c r="B939" s="1" t="str">
        <f t="shared" si="36"/>
        <v>AU Bank</v>
      </c>
      <c r="C939">
        <v>41</v>
      </c>
      <c r="D939">
        <v>41</v>
      </c>
      <c r="E939">
        <v>92</v>
      </c>
      <c r="F939" s="2">
        <v>43677.64</v>
      </c>
      <c r="G939" s="2">
        <v>38445</v>
      </c>
      <c r="H939" s="2">
        <v>0</v>
      </c>
      <c r="I939" s="2">
        <v>33797.64</v>
      </c>
      <c r="J939" s="2">
        <v>9880</v>
      </c>
      <c r="K939" s="3">
        <v>6916</v>
      </c>
      <c r="L939" s="3">
        <v>2964</v>
      </c>
      <c r="M939" s="3">
        <v>5136.6400000000003</v>
      </c>
      <c r="N939" s="4" t="s">
        <v>146</v>
      </c>
      <c r="O939" s="3" t="str">
        <f t="shared" si="35"/>
        <v>Online</v>
      </c>
      <c r="P939" s="11">
        <v>9669000</v>
      </c>
      <c r="Q939" s="3">
        <v>7128600000</v>
      </c>
      <c r="R939" s="3">
        <v>4730700000</v>
      </c>
      <c r="S939" s="11">
        <v>13100000</v>
      </c>
    </row>
    <row r="940" spans="1:19" x14ac:dyDescent="0.35">
      <c r="A940" s="1" t="s">
        <v>27</v>
      </c>
      <c r="B940" s="1" t="str">
        <f t="shared" si="36"/>
        <v>Federal Bank</v>
      </c>
      <c r="C940">
        <v>50</v>
      </c>
      <c r="D940">
        <v>50</v>
      </c>
      <c r="E940">
        <v>126</v>
      </c>
      <c r="F940" s="2">
        <v>43830.25</v>
      </c>
      <c r="G940" s="2">
        <v>43830.25</v>
      </c>
      <c r="H940" s="2">
        <v>0</v>
      </c>
      <c r="I940" s="2">
        <v>38830.25</v>
      </c>
      <c r="J940" s="2">
        <v>5000</v>
      </c>
      <c r="K940" s="3">
        <v>5000</v>
      </c>
      <c r="L940" s="3">
        <v>0</v>
      </c>
      <c r="M940" s="3">
        <v>0</v>
      </c>
      <c r="N940" s="4" t="s">
        <v>146</v>
      </c>
      <c r="O940" s="3" t="str">
        <f t="shared" si="35"/>
        <v>Offline - Box Office</v>
      </c>
      <c r="P940" s="11">
        <v>9669000</v>
      </c>
      <c r="Q940" s="3">
        <v>7128600000</v>
      </c>
      <c r="R940" s="3">
        <v>4730700000</v>
      </c>
      <c r="S940" s="11">
        <v>13100000</v>
      </c>
    </row>
    <row r="941" spans="1:19" x14ac:dyDescent="0.35">
      <c r="A941" s="1" t="s">
        <v>28</v>
      </c>
      <c r="B941" s="1" t="str">
        <f t="shared" si="36"/>
        <v>Federal Bank</v>
      </c>
      <c r="C941">
        <v>132</v>
      </c>
      <c r="D941">
        <v>132</v>
      </c>
      <c r="E941">
        <v>320</v>
      </c>
      <c r="F941" s="2">
        <v>125455.13</v>
      </c>
      <c r="G941" s="2">
        <v>107721.95</v>
      </c>
      <c r="H941" s="2">
        <v>2153</v>
      </c>
      <c r="I941" s="2">
        <v>112287.13</v>
      </c>
      <c r="J941" s="2">
        <v>13168</v>
      </c>
      <c r="K941" s="3">
        <v>13168</v>
      </c>
      <c r="L941" s="3">
        <v>0</v>
      </c>
      <c r="M941" s="3">
        <v>15282.18</v>
      </c>
      <c r="N941" s="4" t="s">
        <v>146</v>
      </c>
      <c r="O941" s="3" t="str">
        <f t="shared" si="35"/>
        <v>Online</v>
      </c>
      <c r="P941" s="11">
        <v>9669000</v>
      </c>
      <c r="Q941" s="3">
        <v>7128600000</v>
      </c>
      <c r="R941" s="3">
        <v>4730700000</v>
      </c>
      <c r="S941" s="11">
        <v>13100000</v>
      </c>
    </row>
    <row r="942" spans="1:19" x14ac:dyDescent="0.35">
      <c r="A942" s="1" t="s">
        <v>29</v>
      </c>
      <c r="B942" s="1" t="str">
        <f t="shared" si="36"/>
        <v>Federal Bank</v>
      </c>
      <c r="C942">
        <v>188</v>
      </c>
      <c r="D942">
        <v>188</v>
      </c>
      <c r="E942">
        <v>514</v>
      </c>
      <c r="F942" s="2">
        <v>139563.60999999999</v>
      </c>
      <c r="G942" s="2">
        <v>139563.60999999999</v>
      </c>
      <c r="H942" s="2">
        <v>0</v>
      </c>
      <c r="I942" s="2">
        <v>120795.61</v>
      </c>
      <c r="J942" s="2">
        <v>18768</v>
      </c>
      <c r="K942" s="3">
        <v>18768</v>
      </c>
      <c r="L942" s="3">
        <v>0</v>
      </c>
      <c r="M942" s="3">
        <v>0</v>
      </c>
      <c r="N942" s="4" t="s">
        <v>146</v>
      </c>
      <c r="O942" s="3" t="str">
        <f t="shared" si="35"/>
        <v>Offline - Box Office</v>
      </c>
      <c r="P942" s="11">
        <v>9669000</v>
      </c>
      <c r="Q942" s="3">
        <v>7128600000</v>
      </c>
      <c r="R942" s="3">
        <v>4730700000</v>
      </c>
      <c r="S942" s="11">
        <v>13100000</v>
      </c>
    </row>
    <row r="943" spans="1:19" x14ac:dyDescent="0.35">
      <c r="A943" s="1" t="s">
        <v>30</v>
      </c>
      <c r="B943" s="1" t="str">
        <f t="shared" si="36"/>
        <v>Federal Bank</v>
      </c>
      <c r="C943">
        <v>298</v>
      </c>
      <c r="D943">
        <v>298</v>
      </c>
      <c r="E943">
        <v>714</v>
      </c>
      <c r="F943" s="2">
        <v>246038.5</v>
      </c>
      <c r="G943" s="2">
        <v>211223.22</v>
      </c>
      <c r="H943" s="2">
        <v>2162</v>
      </c>
      <c r="I943" s="2">
        <v>216380.15</v>
      </c>
      <c r="J943" s="2">
        <v>29658.35</v>
      </c>
      <c r="K943" s="3">
        <v>29658.35</v>
      </c>
      <c r="L943" s="3">
        <v>0</v>
      </c>
      <c r="M943" s="3">
        <v>32087.279999999999</v>
      </c>
      <c r="N943" s="4" t="s">
        <v>146</v>
      </c>
      <c r="O943" s="3" t="str">
        <f t="shared" si="35"/>
        <v>Online</v>
      </c>
      <c r="P943" s="11">
        <v>9669000</v>
      </c>
      <c r="Q943" s="3">
        <v>7128600000</v>
      </c>
      <c r="R943" s="3">
        <v>4730700000</v>
      </c>
      <c r="S943" s="11">
        <v>13100000</v>
      </c>
    </row>
    <row r="944" spans="1:19" x14ac:dyDescent="0.35">
      <c r="A944" s="1" t="s">
        <v>121</v>
      </c>
      <c r="B944" s="1" t="str">
        <f t="shared" si="36"/>
        <v>AU Bank</v>
      </c>
      <c r="C944">
        <v>150</v>
      </c>
      <c r="D944">
        <v>0</v>
      </c>
      <c r="E944">
        <v>507</v>
      </c>
      <c r="F944" s="2">
        <v>192521.2</v>
      </c>
      <c r="G944" s="2">
        <v>192521.2</v>
      </c>
      <c r="H944" s="2">
        <v>0</v>
      </c>
      <c r="I944" s="2">
        <v>171504.2</v>
      </c>
      <c r="J944" s="2">
        <v>21017</v>
      </c>
      <c r="K944" s="3">
        <v>14711.9</v>
      </c>
      <c r="L944" s="3">
        <v>6305.1</v>
      </c>
      <c r="M944" s="3">
        <v>0</v>
      </c>
      <c r="N944" s="4" t="s">
        <v>146</v>
      </c>
      <c r="O944" s="3" t="str">
        <f t="shared" si="35"/>
        <v>Offline - Box Office</v>
      </c>
      <c r="P944" s="11">
        <v>9669000</v>
      </c>
      <c r="Q944" s="3">
        <v>7128600000</v>
      </c>
      <c r="R944" s="3">
        <v>4730700000</v>
      </c>
      <c r="S944" s="11">
        <v>13100000</v>
      </c>
    </row>
    <row r="945" spans="1:19" x14ac:dyDescent="0.35">
      <c r="A945" s="1" t="s">
        <v>122</v>
      </c>
      <c r="B945" s="1" t="str">
        <f t="shared" si="36"/>
        <v>AU Bank</v>
      </c>
      <c r="C945">
        <v>114</v>
      </c>
      <c r="D945">
        <v>0</v>
      </c>
      <c r="E945">
        <v>286</v>
      </c>
      <c r="F945" s="2">
        <v>145911.85</v>
      </c>
      <c r="G945" s="2">
        <v>126645.47</v>
      </c>
      <c r="H945" s="2">
        <v>2080</v>
      </c>
      <c r="I945" s="2">
        <v>129720.85</v>
      </c>
      <c r="J945" s="2">
        <v>16191</v>
      </c>
      <c r="K945" s="3">
        <v>11333.7</v>
      </c>
      <c r="L945" s="3">
        <v>4857.3</v>
      </c>
      <c r="M945" s="3">
        <v>16922.38</v>
      </c>
      <c r="N945" s="4" t="s">
        <v>146</v>
      </c>
      <c r="O945" s="3" t="str">
        <f t="shared" si="35"/>
        <v>Online</v>
      </c>
      <c r="P945" s="11">
        <v>9669000</v>
      </c>
      <c r="Q945" s="3">
        <v>7128600000</v>
      </c>
      <c r="R945" s="3">
        <v>4730700000</v>
      </c>
      <c r="S945" s="11">
        <v>13100000</v>
      </c>
    </row>
    <row r="946" spans="1:19" x14ac:dyDescent="0.35">
      <c r="A946" s="1" t="s">
        <v>123</v>
      </c>
      <c r="B946" s="1" t="str">
        <f t="shared" si="36"/>
        <v>AU Bank</v>
      </c>
      <c r="C946">
        <v>185</v>
      </c>
      <c r="D946">
        <v>0</v>
      </c>
      <c r="E946">
        <v>569</v>
      </c>
      <c r="F946" s="2">
        <v>208479.45</v>
      </c>
      <c r="G946" s="2">
        <v>208479.45</v>
      </c>
      <c r="H946" s="2">
        <v>0</v>
      </c>
      <c r="I946" s="2">
        <v>189979.45</v>
      </c>
      <c r="J946" s="2">
        <v>18500</v>
      </c>
      <c r="K946" s="3">
        <v>12950</v>
      </c>
      <c r="L946" s="3">
        <v>5550</v>
      </c>
      <c r="M946" s="3">
        <v>0</v>
      </c>
      <c r="N946" s="4" t="s">
        <v>146</v>
      </c>
      <c r="O946" s="3" t="str">
        <f t="shared" si="35"/>
        <v>Offline - Box Office</v>
      </c>
      <c r="P946" s="11">
        <v>9669000</v>
      </c>
      <c r="Q946" s="3">
        <v>7128600000</v>
      </c>
      <c r="R946" s="3">
        <v>4730700000</v>
      </c>
      <c r="S946" s="11">
        <v>13100000</v>
      </c>
    </row>
    <row r="947" spans="1:19" x14ac:dyDescent="0.35">
      <c r="A947" s="1" t="s">
        <v>124</v>
      </c>
      <c r="B947" s="1" t="str">
        <f t="shared" si="36"/>
        <v>AU Bank</v>
      </c>
      <c r="C947">
        <v>61</v>
      </c>
      <c r="D947">
        <v>0</v>
      </c>
      <c r="E947">
        <v>158</v>
      </c>
      <c r="F947" s="2">
        <v>71355.77</v>
      </c>
      <c r="G947" s="2">
        <v>61393.67</v>
      </c>
      <c r="H947" s="2">
        <v>1753</v>
      </c>
      <c r="I947" s="2">
        <v>65255.77</v>
      </c>
      <c r="J947" s="2">
        <v>6100</v>
      </c>
      <c r="K947" s="3">
        <v>4270</v>
      </c>
      <c r="L947" s="3">
        <v>1830</v>
      </c>
      <c r="M947" s="3">
        <v>8077.1</v>
      </c>
      <c r="N947" s="4" t="s">
        <v>146</v>
      </c>
      <c r="O947" s="3" t="str">
        <f t="shared" si="35"/>
        <v>Online</v>
      </c>
      <c r="P947" s="11">
        <v>9669000</v>
      </c>
      <c r="Q947" s="3">
        <v>7128600000</v>
      </c>
      <c r="R947" s="3">
        <v>4730700000</v>
      </c>
      <c r="S947" s="11">
        <v>13100000</v>
      </c>
    </row>
    <row r="948" spans="1:19" x14ac:dyDescent="0.35">
      <c r="A948" s="1" t="s">
        <v>133</v>
      </c>
      <c r="B948" s="1" t="str">
        <f t="shared" si="36"/>
        <v>HDFC Bank</v>
      </c>
      <c r="C948">
        <v>200</v>
      </c>
      <c r="D948">
        <v>0</v>
      </c>
      <c r="E948">
        <v>244</v>
      </c>
      <c r="F948" s="2">
        <v>161849</v>
      </c>
      <c r="G948" s="2">
        <v>0</v>
      </c>
      <c r="H948" s="2">
        <v>161849</v>
      </c>
      <c r="I948" s="2">
        <v>141849</v>
      </c>
      <c r="J948" s="2">
        <v>20000</v>
      </c>
      <c r="K948" s="3">
        <v>20000</v>
      </c>
      <c r="L948" s="3">
        <v>0</v>
      </c>
      <c r="M948" s="3">
        <v>0</v>
      </c>
      <c r="N948" s="4" t="s">
        <v>146</v>
      </c>
      <c r="O948" s="3" t="str">
        <f t="shared" si="35"/>
        <v>Offline - F&amp;B</v>
      </c>
      <c r="P948" s="11">
        <v>9669000</v>
      </c>
      <c r="Q948" s="3">
        <v>7128600000</v>
      </c>
      <c r="R948" s="3">
        <v>4730700000</v>
      </c>
      <c r="S948" s="11">
        <v>13100000</v>
      </c>
    </row>
    <row r="949" spans="1:19" x14ac:dyDescent="0.35">
      <c r="A949" s="1" t="s">
        <v>32</v>
      </c>
      <c r="B949" s="1" t="str">
        <f t="shared" si="36"/>
        <v>ICICI Bank</v>
      </c>
      <c r="C949">
        <v>2537</v>
      </c>
      <c r="D949">
        <v>0</v>
      </c>
      <c r="E949">
        <v>6874</v>
      </c>
      <c r="F949" s="2">
        <v>2163670.34</v>
      </c>
      <c r="G949" s="2">
        <v>2163670.34</v>
      </c>
      <c r="H949" s="2">
        <v>0</v>
      </c>
      <c r="I949" s="2">
        <v>1901479.34</v>
      </c>
      <c r="J949" s="2">
        <v>262191</v>
      </c>
      <c r="K949" s="3">
        <v>230728.08</v>
      </c>
      <c r="L949" s="3">
        <v>31462.92</v>
      </c>
      <c r="M949" s="3">
        <v>0</v>
      </c>
      <c r="N949" s="4" t="s">
        <v>146</v>
      </c>
      <c r="O949" s="3" t="str">
        <f t="shared" si="35"/>
        <v>Offline - Box Office</v>
      </c>
      <c r="P949" s="11">
        <v>9669000</v>
      </c>
      <c r="Q949" s="3">
        <v>7128600000</v>
      </c>
      <c r="R949" s="3">
        <v>4730700000</v>
      </c>
      <c r="S949" s="11">
        <v>13100000</v>
      </c>
    </row>
    <row r="950" spans="1:19" x14ac:dyDescent="0.35">
      <c r="A950" s="1" t="s">
        <v>33</v>
      </c>
      <c r="B950" s="1" t="str">
        <f t="shared" si="36"/>
        <v>ICICI Bank</v>
      </c>
      <c r="C950">
        <v>1256</v>
      </c>
      <c r="D950">
        <v>0</v>
      </c>
      <c r="E950">
        <v>3257</v>
      </c>
      <c r="F950" s="2">
        <v>1387887.11</v>
      </c>
      <c r="G950" s="2">
        <v>1197801.01</v>
      </c>
      <c r="H950" s="2">
        <v>26440</v>
      </c>
      <c r="I950" s="2">
        <v>1248016.1100000001</v>
      </c>
      <c r="J950" s="2">
        <v>139871</v>
      </c>
      <c r="K950" s="3">
        <v>118890.35</v>
      </c>
      <c r="L950" s="3">
        <v>20980.65</v>
      </c>
      <c r="M950" s="3">
        <v>160574.1</v>
      </c>
      <c r="N950" s="4" t="s">
        <v>146</v>
      </c>
      <c r="O950" s="3" t="str">
        <f t="shared" si="35"/>
        <v>Online</v>
      </c>
      <c r="P950" s="11">
        <v>9669000</v>
      </c>
      <c r="Q950" s="3">
        <v>7128600000</v>
      </c>
      <c r="R950" s="3">
        <v>4730700000</v>
      </c>
      <c r="S950" s="11">
        <v>13100000</v>
      </c>
    </row>
    <row r="951" spans="1:19" x14ac:dyDescent="0.35">
      <c r="A951" s="1" t="s">
        <v>34</v>
      </c>
      <c r="B951" s="1" t="str">
        <f t="shared" si="36"/>
        <v>ICICI Bank</v>
      </c>
      <c r="C951">
        <v>261</v>
      </c>
      <c r="D951">
        <v>0</v>
      </c>
      <c r="E951">
        <v>708</v>
      </c>
      <c r="F951" s="2">
        <v>227447.21</v>
      </c>
      <c r="G951" s="2">
        <v>227447.21</v>
      </c>
      <c r="H951" s="2">
        <v>0</v>
      </c>
      <c r="I951" s="2">
        <v>213737.21</v>
      </c>
      <c r="J951" s="2">
        <v>13710</v>
      </c>
      <c r="K951" s="3">
        <v>12064.8</v>
      </c>
      <c r="L951" s="3">
        <v>1645.2</v>
      </c>
      <c r="M951" s="3">
        <v>0</v>
      </c>
      <c r="N951" s="4" t="s">
        <v>146</v>
      </c>
      <c r="O951" s="3" t="str">
        <f t="shared" si="35"/>
        <v>Offline - Box Office</v>
      </c>
      <c r="P951" s="11">
        <v>9669000</v>
      </c>
      <c r="Q951" s="3">
        <v>7128600000</v>
      </c>
      <c r="R951" s="3">
        <v>4730700000</v>
      </c>
      <c r="S951" s="11">
        <v>13100000</v>
      </c>
    </row>
    <row r="952" spans="1:19" x14ac:dyDescent="0.35">
      <c r="A952" s="1" t="s">
        <v>35</v>
      </c>
      <c r="B952" s="1" t="str">
        <f t="shared" si="36"/>
        <v>ICICI Bank</v>
      </c>
      <c r="C952">
        <v>108</v>
      </c>
      <c r="D952">
        <v>0</v>
      </c>
      <c r="E952">
        <v>283</v>
      </c>
      <c r="F952" s="2">
        <v>116254.99</v>
      </c>
      <c r="G952" s="2">
        <v>99521.43</v>
      </c>
      <c r="H952" s="2">
        <v>2960</v>
      </c>
      <c r="I952" s="2">
        <v>110081.99</v>
      </c>
      <c r="J952" s="2">
        <v>6173</v>
      </c>
      <c r="K952" s="3">
        <v>5247.05</v>
      </c>
      <c r="L952" s="3">
        <v>925.95</v>
      </c>
      <c r="M952" s="3">
        <v>13501.56</v>
      </c>
      <c r="N952" s="4" t="s">
        <v>146</v>
      </c>
      <c r="O952" s="3" t="str">
        <f t="shared" si="35"/>
        <v>Online</v>
      </c>
      <c r="P952" s="11">
        <v>9669000</v>
      </c>
      <c r="Q952" s="3">
        <v>7128600000</v>
      </c>
      <c r="R952" s="3">
        <v>4730700000</v>
      </c>
      <c r="S952" s="11">
        <v>13100000</v>
      </c>
    </row>
    <row r="953" spans="1:19" x14ac:dyDescent="0.35">
      <c r="A953" s="1" t="s">
        <v>48</v>
      </c>
      <c r="B953" s="1" t="str">
        <f t="shared" si="36"/>
        <v>IDBI Bank</v>
      </c>
      <c r="C953">
        <v>217</v>
      </c>
      <c r="D953">
        <v>0</v>
      </c>
      <c r="E953">
        <v>485</v>
      </c>
      <c r="F953" s="2">
        <v>146726.25</v>
      </c>
      <c r="G953" s="2">
        <v>146726.25</v>
      </c>
      <c r="H953" s="2">
        <v>0</v>
      </c>
      <c r="I953" s="2">
        <v>122347.25</v>
      </c>
      <c r="J953" s="2">
        <v>24379</v>
      </c>
      <c r="K953" s="3">
        <v>24379</v>
      </c>
      <c r="L953" s="3">
        <v>0</v>
      </c>
      <c r="M953" s="3">
        <v>0</v>
      </c>
      <c r="N953" s="4" t="s">
        <v>146</v>
      </c>
      <c r="O953" s="3" t="str">
        <f t="shared" si="35"/>
        <v>Offline - Box Office</v>
      </c>
      <c r="P953" s="11">
        <v>9669000</v>
      </c>
      <c r="Q953" s="3">
        <v>7128600000</v>
      </c>
      <c r="R953" s="3">
        <v>4730700000</v>
      </c>
      <c r="S953" s="11">
        <v>13100000</v>
      </c>
    </row>
    <row r="954" spans="1:19" x14ac:dyDescent="0.35">
      <c r="A954" s="1" t="s">
        <v>37</v>
      </c>
      <c r="B954" s="1" t="str">
        <f t="shared" si="36"/>
        <v>IDBI Bank</v>
      </c>
      <c r="C954">
        <v>435</v>
      </c>
      <c r="D954">
        <v>0</v>
      </c>
      <c r="E954">
        <v>908</v>
      </c>
      <c r="F954" s="2">
        <v>388235.46</v>
      </c>
      <c r="G954" s="2">
        <v>335533.96000000002</v>
      </c>
      <c r="H954" s="2">
        <v>11572</v>
      </c>
      <c r="I954" s="2">
        <v>333006.46000000002</v>
      </c>
      <c r="J954" s="2">
        <v>55229</v>
      </c>
      <c r="K954" s="3">
        <v>55229</v>
      </c>
      <c r="L954" s="3">
        <v>0</v>
      </c>
      <c r="M954" s="3">
        <v>40467.5</v>
      </c>
      <c r="N954" s="4" t="s">
        <v>146</v>
      </c>
      <c r="O954" s="3" t="str">
        <f t="shared" si="35"/>
        <v>Online</v>
      </c>
      <c r="P954" s="11">
        <v>9669000</v>
      </c>
      <c r="Q954" s="3">
        <v>7128600000</v>
      </c>
      <c r="R954" s="3">
        <v>4730700000</v>
      </c>
      <c r="S954" s="11">
        <v>13100000</v>
      </c>
    </row>
    <row r="955" spans="1:19" x14ac:dyDescent="0.35">
      <c r="A955" s="1" t="s">
        <v>49</v>
      </c>
      <c r="B955" s="1" t="str">
        <f t="shared" si="36"/>
        <v>IDBI Bank</v>
      </c>
      <c r="C955">
        <v>491</v>
      </c>
      <c r="D955">
        <v>0</v>
      </c>
      <c r="E955">
        <v>1229</v>
      </c>
      <c r="F955" s="2">
        <v>354185.06</v>
      </c>
      <c r="G955" s="2">
        <v>0</v>
      </c>
      <c r="H955" s="2">
        <v>354185.06</v>
      </c>
      <c r="I955" s="2">
        <v>295840.06</v>
      </c>
      <c r="J955" s="2">
        <v>58345</v>
      </c>
      <c r="K955" s="3">
        <v>40841.5</v>
      </c>
      <c r="L955" s="3">
        <v>17503.5</v>
      </c>
      <c r="M955" s="3">
        <v>0</v>
      </c>
      <c r="N955" s="4" t="s">
        <v>146</v>
      </c>
      <c r="O955" s="3" t="str">
        <f t="shared" si="35"/>
        <v>Offline - F&amp;B</v>
      </c>
      <c r="P955" s="11">
        <v>9669000</v>
      </c>
      <c r="Q955" s="3">
        <v>7128600000</v>
      </c>
      <c r="R955" s="3">
        <v>4730700000</v>
      </c>
      <c r="S955" s="11">
        <v>13100000</v>
      </c>
    </row>
    <row r="956" spans="1:19" x14ac:dyDescent="0.35">
      <c r="A956" s="1" t="s">
        <v>52</v>
      </c>
      <c r="B956" s="1" t="str">
        <f t="shared" si="36"/>
        <v>Kotak Mahindra Bank</v>
      </c>
      <c r="C956">
        <v>46</v>
      </c>
      <c r="D956">
        <v>46</v>
      </c>
      <c r="E956">
        <v>103</v>
      </c>
      <c r="F956" s="2">
        <v>155251.44</v>
      </c>
      <c r="G956" s="2">
        <v>147636</v>
      </c>
      <c r="H956" s="2">
        <v>0</v>
      </c>
      <c r="I956" s="2">
        <v>120283.44</v>
      </c>
      <c r="J956" s="2">
        <v>34968</v>
      </c>
      <c r="K956" s="3">
        <v>34968</v>
      </c>
      <c r="L956" s="3">
        <v>0</v>
      </c>
      <c r="M956" s="3">
        <v>7443.44</v>
      </c>
      <c r="N956" s="4" t="s">
        <v>146</v>
      </c>
      <c r="O956" s="3" t="str">
        <f t="shared" si="35"/>
        <v>Online</v>
      </c>
      <c r="P956" s="11">
        <v>9669000</v>
      </c>
      <c r="Q956" s="3">
        <v>7128600000</v>
      </c>
      <c r="R956" s="3">
        <v>4730700000</v>
      </c>
      <c r="S956" s="11">
        <v>13100000</v>
      </c>
    </row>
    <row r="957" spans="1:19" x14ac:dyDescent="0.35">
      <c r="A957" s="1" t="s">
        <v>134</v>
      </c>
      <c r="B957" s="1" t="str">
        <f t="shared" si="36"/>
        <v>Kotak Mahindra Bank</v>
      </c>
      <c r="C957">
        <v>565</v>
      </c>
      <c r="D957">
        <v>565</v>
      </c>
      <c r="E957">
        <v>1321</v>
      </c>
      <c r="F957" s="2">
        <v>525329.23</v>
      </c>
      <c r="G957" s="2">
        <v>455077.73</v>
      </c>
      <c r="H957" s="2">
        <v>6203</v>
      </c>
      <c r="I957" s="2">
        <v>392840.81</v>
      </c>
      <c r="J957" s="2">
        <v>132488.42000000001</v>
      </c>
      <c r="K957" s="3">
        <v>132488.42000000001</v>
      </c>
      <c r="L957" s="3">
        <v>0</v>
      </c>
      <c r="M957" s="3">
        <v>62602.5</v>
      </c>
      <c r="N957" s="4" t="s">
        <v>146</v>
      </c>
      <c r="O957" s="3" t="str">
        <f t="shared" si="35"/>
        <v>Online</v>
      </c>
      <c r="P957" s="11">
        <v>9669000</v>
      </c>
      <c r="Q957" s="3">
        <v>7128600000</v>
      </c>
      <c r="R957" s="3">
        <v>4730700000</v>
      </c>
      <c r="S957" s="11">
        <v>13100000</v>
      </c>
    </row>
    <row r="958" spans="1:19" x14ac:dyDescent="0.35">
      <c r="A958" s="1" t="s">
        <v>130</v>
      </c>
      <c r="B958" s="1" t="str">
        <f t="shared" si="36"/>
        <v>Kotak Mahindra Bank</v>
      </c>
      <c r="C958">
        <v>61</v>
      </c>
      <c r="D958">
        <v>61</v>
      </c>
      <c r="E958">
        <v>132</v>
      </c>
      <c r="F958" s="2">
        <v>124714.86</v>
      </c>
      <c r="G958" s="2">
        <v>115830</v>
      </c>
      <c r="H958" s="2">
        <v>0</v>
      </c>
      <c r="I958" s="2">
        <v>84857.86</v>
      </c>
      <c r="J958" s="2">
        <v>39857</v>
      </c>
      <c r="K958" s="3">
        <v>39857</v>
      </c>
      <c r="L958" s="3">
        <v>0</v>
      </c>
      <c r="M958" s="3">
        <v>8720.86</v>
      </c>
      <c r="N958" s="4" t="s">
        <v>146</v>
      </c>
      <c r="O958" s="3" t="str">
        <f t="shared" si="35"/>
        <v>Online</v>
      </c>
      <c r="P958" s="11">
        <v>9669000</v>
      </c>
      <c r="Q958" s="3">
        <v>7128600000</v>
      </c>
      <c r="R958" s="3">
        <v>4730700000</v>
      </c>
      <c r="S958" s="11">
        <v>13100000</v>
      </c>
    </row>
    <row r="959" spans="1:19" x14ac:dyDescent="0.35">
      <c r="A959" s="1" t="s">
        <v>38</v>
      </c>
      <c r="B959" s="1" t="str">
        <f t="shared" si="36"/>
        <v>Kotak Mahindra Bank</v>
      </c>
      <c r="C959">
        <v>21917</v>
      </c>
      <c r="D959">
        <v>0</v>
      </c>
      <c r="E959">
        <v>54044</v>
      </c>
      <c r="F959" s="2">
        <v>15788838.689999999</v>
      </c>
      <c r="G959" s="2">
        <v>1042680.28</v>
      </c>
      <c r="H959" s="2">
        <v>14738084.23</v>
      </c>
      <c r="I959" s="2">
        <v>12643655.689999999</v>
      </c>
      <c r="J959" s="2">
        <v>3145183</v>
      </c>
      <c r="K959" s="3">
        <v>0</v>
      </c>
      <c r="L959" s="3">
        <v>3145183</v>
      </c>
      <c r="M959" s="3">
        <v>7930.18</v>
      </c>
      <c r="N959" s="4" t="s">
        <v>146</v>
      </c>
      <c r="O959" s="3" t="str">
        <f t="shared" si="35"/>
        <v>Other</v>
      </c>
      <c r="P959" s="11">
        <v>9669000</v>
      </c>
      <c r="Q959" s="3">
        <v>7128600000</v>
      </c>
      <c r="R959" s="3">
        <v>4730700000</v>
      </c>
      <c r="S959" s="11">
        <v>13100000</v>
      </c>
    </row>
    <row r="960" spans="1:19" x14ac:dyDescent="0.35">
      <c r="A960" s="1" t="s">
        <v>58</v>
      </c>
      <c r="B960" s="1" t="str">
        <f t="shared" si="36"/>
        <v>Kotak Mahindra Bank</v>
      </c>
      <c r="C960">
        <v>1380</v>
      </c>
      <c r="D960">
        <v>0</v>
      </c>
      <c r="E960">
        <v>3272</v>
      </c>
      <c r="F960" s="2">
        <v>1452633.7</v>
      </c>
      <c r="G960" s="2">
        <v>1315743.54</v>
      </c>
      <c r="H960" s="2">
        <v>1924</v>
      </c>
      <c r="I960" s="2">
        <v>1430389.72</v>
      </c>
      <c r="J960" s="2">
        <v>22244</v>
      </c>
      <c r="K960" s="3">
        <v>0</v>
      </c>
      <c r="L960" s="3">
        <v>22244</v>
      </c>
      <c r="M960" s="3">
        <v>133048.16</v>
      </c>
      <c r="N960" s="4" t="s">
        <v>146</v>
      </c>
      <c r="O960" s="3" t="str">
        <f t="shared" si="35"/>
        <v>Other</v>
      </c>
      <c r="P960" s="11">
        <v>9669000</v>
      </c>
      <c r="Q960" s="3">
        <v>7128600000</v>
      </c>
      <c r="R960" s="3">
        <v>4730700000</v>
      </c>
      <c r="S960" s="11">
        <v>13100000</v>
      </c>
    </row>
    <row r="961" spans="1:19" x14ac:dyDescent="0.35">
      <c r="A961" s="1" t="s">
        <v>135</v>
      </c>
      <c r="B961" s="1" t="str">
        <f t="shared" si="36"/>
        <v>Kotak Mahindra Bank</v>
      </c>
      <c r="C961">
        <v>237</v>
      </c>
      <c r="D961">
        <v>237</v>
      </c>
      <c r="E961">
        <v>529</v>
      </c>
      <c r="F961" s="2">
        <v>775026.68</v>
      </c>
      <c r="G961" s="2">
        <v>736484</v>
      </c>
      <c r="H961" s="2">
        <v>545</v>
      </c>
      <c r="I961" s="2">
        <v>493684.68</v>
      </c>
      <c r="J961" s="2">
        <v>281342</v>
      </c>
      <c r="K961" s="3">
        <v>281342</v>
      </c>
      <c r="L961" s="3">
        <v>0</v>
      </c>
      <c r="M961" s="3">
        <v>37343.68</v>
      </c>
      <c r="N961" s="4" t="s">
        <v>146</v>
      </c>
      <c r="O961" s="3" t="str">
        <f t="shared" si="35"/>
        <v>Online</v>
      </c>
      <c r="P961" s="11">
        <v>9669000</v>
      </c>
      <c r="Q961" s="3">
        <v>7128600000</v>
      </c>
      <c r="R961" s="3">
        <v>4730700000</v>
      </c>
      <c r="S961" s="11">
        <v>13100000</v>
      </c>
    </row>
    <row r="962" spans="1:19" x14ac:dyDescent="0.35">
      <c r="A962" s="1" t="s">
        <v>147</v>
      </c>
      <c r="B962" s="1" t="s">
        <v>148</v>
      </c>
      <c r="C962">
        <v>599</v>
      </c>
      <c r="D962">
        <v>0</v>
      </c>
      <c r="E962">
        <v>1304</v>
      </c>
      <c r="F962" s="2">
        <v>659739.63</v>
      </c>
      <c r="G962" s="2">
        <v>580448.41</v>
      </c>
      <c r="H962" s="2">
        <v>4539</v>
      </c>
      <c r="I962" s="2">
        <v>559753.63</v>
      </c>
      <c r="J962" s="2">
        <v>99986</v>
      </c>
      <c r="K962" s="3">
        <v>89987.4</v>
      </c>
      <c r="L962" s="3">
        <v>9998.6</v>
      </c>
      <c r="M962" s="3">
        <v>73586.22</v>
      </c>
      <c r="N962" s="4" t="s">
        <v>146</v>
      </c>
      <c r="O962" s="3" t="str">
        <f t="shared" ref="O962:O1025" si="37">IF(ISNUMBER(SEARCH("Box Office",A962)),"Offline - Box Office",
IF(ISNUMBER(SEARCH("Digital Platforms",A962)),"Online",
IF(ISNUMBER(SEARCH("Refuel",A962)),"Offline - F&amp;B",
IF(ISNUMBER(SEARCH("Food &amp; Beverages",A962)),"Offline - F&amp;B",
IF(ISNUMBER(SEARCH("F&amp;B",A962)),"Offline - F&amp;B",
IF(ISNUMBER(SEARCH("Kiosk",A962)),"Offline - Box Office",
IF(ISNUMBER(SEARCH("Cinema",A962)),"Offline - Box Office",
"Other")))))))</f>
        <v>Online</v>
      </c>
      <c r="P962" s="11">
        <v>9669000</v>
      </c>
      <c r="Q962" s="3">
        <v>7128600000</v>
      </c>
      <c r="R962" s="3">
        <v>4730700000</v>
      </c>
      <c r="S962" s="11">
        <v>13100000</v>
      </c>
    </row>
    <row r="963" spans="1:19" x14ac:dyDescent="0.35">
      <c r="A963" s="1" t="s">
        <v>149</v>
      </c>
      <c r="B963" s="1" t="str">
        <f t="shared" ref="B963:B968" si="38">IF(ISNUMBER(SEARCH("AXIS",A963)),"Axis Bank",
IF(ISNUMBER(SEARCH("HDFC",A963)),"HDFC Bank",
IF(ISNUMBER(SEARCH("ICICI",A963)),"ICICI Bank",
IF(ISNUMBER(SEARCH("AU",A963)),"AU Bank",
IF(ISNUMBER(SEARCH("KOTAK",A963)),"Kotak Mahindra Bank",
IF(ISNUMBER(SEARCH("SBI",A963)),"State Bank of India",
IF(ISNUMBER(SEARCH("HSBC",A963)),"HSBC",
IF(ISNUMBER(SEARCH("DBS",A963)),"DBS Bank",
IF(ISNUMBER(SEARCH("SCAPIA",A963)),"Scapia",
IF(ISNUMBER(SEARCH("STANDARD CHARTERED",A963)),"Standard Chartered Bank",
IF(ISNUMBER(SEARCH("IDBI",A963)),"IDBI Bank",
IF(ISNUMBER(SEARCH("J&amp;K",A963)),"J&amp;K Bank",
IF(ISNUMBER(SEARCH("JAMMU",A963)),"J&amp;K Bank",
IF(ISNUMBER(SEARCH("FEDERAL",A963)),"Federal Bank",
IF(ISNUMBER(SEARCH("BOBCARD",A963)),"BOB Card",
IF(ISNUMBER(SEARCH("BANK OF BARODA",A963)),"BOB Card",
IF(ISNUMBER(SEARCH("AMEX",A963)),"American Express",
IF(ISNUMBER(SEARCH("PLATINUM",A963)),"American Express",
IF(ISNUMBER(SEARCH("CENTURION",A963)),"American Express",
IF(ISNUMBER(SEARCH("VISA",A963)),"Visa",
IF(ISNUMBER(SEARCH("MASTERCARD",A963)),"Mastercard",
"")))))))))))))))))))))</f>
        <v>Kotak Mahindra Bank</v>
      </c>
      <c r="C963">
        <v>995</v>
      </c>
      <c r="D963">
        <v>995</v>
      </c>
      <c r="E963">
        <v>2351</v>
      </c>
      <c r="F963" s="2">
        <v>1518914.72</v>
      </c>
      <c r="G963" s="2">
        <v>1356117.48</v>
      </c>
      <c r="H963" s="2">
        <v>11661</v>
      </c>
      <c r="I963" s="2">
        <v>1001273.62</v>
      </c>
      <c r="J963" s="2">
        <v>517641.1</v>
      </c>
      <c r="K963" s="3">
        <v>517641.1</v>
      </c>
      <c r="L963" s="3">
        <v>0</v>
      </c>
      <c r="M963" s="3">
        <v>148790.24</v>
      </c>
      <c r="N963" s="4" t="s">
        <v>146</v>
      </c>
      <c r="O963" s="3" t="str">
        <f t="shared" si="37"/>
        <v>Online</v>
      </c>
      <c r="P963" s="11">
        <v>9669000</v>
      </c>
      <c r="Q963" s="3">
        <v>7128600000</v>
      </c>
      <c r="R963" s="3">
        <v>4730700000</v>
      </c>
      <c r="S963" s="11">
        <v>13100000</v>
      </c>
    </row>
    <row r="964" spans="1:19" x14ac:dyDescent="0.35">
      <c r="A964" s="1" t="s">
        <v>40</v>
      </c>
      <c r="B964" s="1" t="str">
        <f t="shared" si="38"/>
        <v>Standard Chartered Bank</v>
      </c>
      <c r="C964">
        <v>6</v>
      </c>
      <c r="D964">
        <v>6</v>
      </c>
      <c r="E964">
        <v>13</v>
      </c>
      <c r="F964" s="2">
        <v>3127.6</v>
      </c>
      <c r="G964" s="2">
        <v>3127.6</v>
      </c>
      <c r="H964" s="2">
        <v>0</v>
      </c>
      <c r="I964" s="2">
        <v>1973.8</v>
      </c>
      <c r="J964" s="2">
        <v>1153.8</v>
      </c>
      <c r="K964" s="3">
        <v>1153.8</v>
      </c>
      <c r="L964" s="3">
        <v>0</v>
      </c>
      <c r="M964" s="3">
        <v>0</v>
      </c>
      <c r="N964" s="4" t="s">
        <v>146</v>
      </c>
      <c r="O964" s="3" t="str">
        <f t="shared" si="37"/>
        <v>Offline - Box Office</v>
      </c>
      <c r="P964" s="11">
        <v>9669000</v>
      </c>
      <c r="Q964" s="3">
        <v>7128600000</v>
      </c>
      <c r="R964" s="3">
        <v>4730700000</v>
      </c>
      <c r="S964" s="11">
        <v>13100000</v>
      </c>
    </row>
    <row r="965" spans="1:19" x14ac:dyDescent="0.35">
      <c r="A965" s="1" t="s">
        <v>41</v>
      </c>
      <c r="B965" s="1" t="str">
        <f t="shared" si="38"/>
        <v>Standard Chartered Bank</v>
      </c>
      <c r="C965">
        <v>26</v>
      </c>
      <c r="D965">
        <v>26</v>
      </c>
      <c r="E965">
        <v>66</v>
      </c>
      <c r="F965" s="2">
        <v>22040.52</v>
      </c>
      <c r="G965" s="2">
        <v>18675.18</v>
      </c>
      <c r="H965" s="2">
        <v>415</v>
      </c>
      <c r="I965" s="2">
        <v>16948.919999999998</v>
      </c>
      <c r="J965" s="2">
        <v>5091.6000000000004</v>
      </c>
      <c r="K965" s="3">
        <v>5091.6000000000004</v>
      </c>
      <c r="L965" s="3">
        <v>0</v>
      </c>
      <c r="M965" s="3">
        <v>2906.34</v>
      </c>
      <c r="N965" s="4" t="s">
        <v>146</v>
      </c>
      <c r="O965" s="3" t="str">
        <f t="shared" si="37"/>
        <v>Online</v>
      </c>
      <c r="P965" s="11">
        <v>9669000</v>
      </c>
      <c r="Q965" s="3">
        <v>7128600000</v>
      </c>
      <c r="R965" s="3">
        <v>4730700000</v>
      </c>
      <c r="S965" s="11">
        <v>13100000</v>
      </c>
    </row>
    <row r="966" spans="1:19" x14ac:dyDescent="0.35">
      <c r="A966" s="1" t="s">
        <v>141</v>
      </c>
      <c r="B966" s="1" t="str">
        <f t="shared" si="38"/>
        <v>Mastercard</v>
      </c>
      <c r="C966">
        <v>138</v>
      </c>
      <c r="D966">
        <v>0</v>
      </c>
      <c r="E966">
        <v>431</v>
      </c>
      <c r="F966" s="2">
        <v>199204.92</v>
      </c>
      <c r="G966" s="2">
        <v>199204.92</v>
      </c>
      <c r="H966" s="2">
        <v>0</v>
      </c>
      <c r="I966" s="2">
        <v>171634.92</v>
      </c>
      <c r="J966" s="2">
        <v>27570</v>
      </c>
      <c r="K966" s="3">
        <v>27570</v>
      </c>
      <c r="L966" s="3">
        <v>0</v>
      </c>
      <c r="M966" s="3">
        <v>0</v>
      </c>
      <c r="N966" s="4" t="s">
        <v>146</v>
      </c>
      <c r="O966" s="3" t="str">
        <f t="shared" si="37"/>
        <v>Offline - Box Office</v>
      </c>
      <c r="P966" s="11">
        <v>9669000</v>
      </c>
      <c r="Q966" s="3">
        <v>7128600000</v>
      </c>
      <c r="R966" s="3">
        <v>4730700000</v>
      </c>
      <c r="S966" s="11">
        <v>13100000</v>
      </c>
    </row>
    <row r="967" spans="1:19" x14ac:dyDescent="0.35">
      <c r="A967" s="1" t="s">
        <v>142</v>
      </c>
      <c r="B967" s="1" t="str">
        <f t="shared" si="38"/>
        <v>Mastercard</v>
      </c>
      <c r="C967">
        <v>924</v>
      </c>
      <c r="D967">
        <v>0</v>
      </c>
      <c r="E967">
        <v>3472</v>
      </c>
      <c r="F967" s="2">
        <v>1193017.3700000001</v>
      </c>
      <c r="G967" s="2">
        <v>0</v>
      </c>
      <c r="H967" s="2">
        <v>1193017.3700000001</v>
      </c>
      <c r="I967" s="2">
        <v>1008861.37</v>
      </c>
      <c r="J967" s="2">
        <v>184156</v>
      </c>
      <c r="K967" s="3">
        <v>184156</v>
      </c>
      <c r="L967" s="3">
        <v>0</v>
      </c>
      <c r="M967" s="3">
        <v>0</v>
      </c>
      <c r="N967" s="4" t="s">
        <v>146</v>
      </c>
      <c r="O967" s="3" t="str">
        <f t="shared" si="37"/>
        <v>Offline - F&amp;B</v>
      </c>
      <c r="P967" s="11">
        <v>9669000</v>
      </c>
      <c r="Q967" s="3">
        <v>7128600000</v>
      </c>
      <c r="R967" s="3">
        <v>4730700000</v>
      </c>
      <c r="S967" s="11">
        <v>13100000</v>
      </c>
    </row>
    <row r="968" spans="1:19" x14ac:dyDescent="0.35">
      <c r="A968" s="1" t="s">
        <v>125</v>
      </c>
      <c r="B968" s="1" t="str">
        <f t="shared" si="38"/>
        <v>HDFC Bank</v>
      </c>
      <c r="C968">
        <v>10718</v>
      </c>
      <c r="D968">
        <v>0</v>
      </c>
      <c r="E968">
        <v>57107</v>
      </c>
      <c r="F968" s="2">
        <v>23943128.109999999</v>
      </c>
      <c r="G968" s="2">
        <v>7986140.1900000004</v>
      </c>
      <c r="H968" s="2">
        <v>15683823.42</v>
      </c>
      <c r="I968" s="2">
        <v>22967502.109999999</v>
      </c>
      <c r="J968" s="2">
        <v>975626</v>
      </c>
      <c r="K968" s="3">
        <v>0</v>
      </c>
      <c r="L968" s="3">
        <v>975626</v>
      </c>
      <c r="M968" s="3">
        <v>269612.5</v>
      </c>
      <c r="N968" s="4" t="s">
        <v>146</v>
      </c>
      <c r="O968" s="3" t="str">
        <f t="shared" si="37"/>
        <v>Other</v>
      </c>
      <c r="P968" s="11">
        <v>9669000</v>
      </c>
      <c r="Q968" s="3">
        <v>7128600000</v>
      </c>
      <c r="R968" s="3">
        <v>4730700000</v>
      </c>
      <c r="S968" s="11">
        <v>13100000</v>
      </c>
    </row>
    <row r="969" spans="1:19" x14ac:dyDescent="0.35">
      <c r="A969" s="1" t="s">
        <v>137</v>
      </c>
      <c r="B969" s="1" t="str">
        <f t="shared" ref="B969:B1032" si="39">IF(ISNUMBER(SEARCH("AXIS",A969)),"Axis Bank",
IF(OR(ISNUMBER(SEARCH("ONE CREDIT",A969)),ISNUMBER(SEARCH("ONECARD",A969))),"OneCard",
IF(OR(ISNUMBER(SEARCH("PNB",A969)),ISNUMBER(SEARCH("PUNJAB NATIONAL",A969))),"Punjab National Bank",
IF(ISNUMBER(SEARCH("HDFC",A969)),"HDFC Bank",
IF(ISNUMBER(SEARCH("ICICI",A969)),"ICICI Bank",
IF(ISNUMBER(SEARCH("AU",A969)),"AU Bank",
IF(ISNUMBER(SEARCH("KOTAK",A969)),"Kotak Mahindra Bank",
IF(ISNUMBER(SEARCH("SBI",A969)),"State Bank of India",
IF(ISNUMBER(SEARCH("HSBC",A969)),"HSBC",
IF(ISNUMBER(SEARCH("DBS",A969)),"DBS Bank",
IF(ISNUMBER(SEARCH("SCAPIA",A969)),"Scapia",
IF(ISNUMBER(SEARCH("STANDARD CHARTERED",A969)),"Standard Chartered Bank",
IF(ISNUMBER(SEARCH("IDBI",A969)),"IDBI Bank",
IF(OR(ISNUMBER(SEARCH("J&amp;K",A969)),ISNUMBER(SEARCH("JAMMU",A969))),"J&amp;K Bank",
IF(ISNUMBER(SEARCH("FEDERAL",A969)),"Federal Bank",
IF(OR(ISNUMBER(SEARCH("BOBCARD",A969)),ISNUMBER(SEARCH("BANK OF BARODA",A969))),"BOB Card",
IF(OR(ISNUMBER(SEARCH("AMEX",A969)),ISNUMBER(SEARCH("PLATINUM",A969)),ISNUMBER(SEARCH("CENTURION",A969))),"American Express",
IF(ISNUMBER(SEARCH("VISA",A969)),"Visa",
IF(ISNUMBER(SEARCH("MASTERCARD",A969)),"Mastercard",
"")))))))))))))))))))</f>
        <v>Axis Bank</v>
      </c>
      <c r="C969">
        <v>120</v>
      </c>
      <c r="D969">
        <v>0</v>
      </c>
      <c r="E969">
        <v>289</v>
      </c>
      <c r="F969" s="2">
        <v>102257.7</v>
      </c>
      <c r="G969" s="2">
        <v>86189.92</v>
      </c>
      <c r="H969" s="2">
        <v>3179</v>
      </c>
      <c r="I969" s="2">
        <v>76043.7</v>
      </c>
      <c r="J969" s="2">
        <v>26214</v>
      </c>
      <c r="K969" s="3">
        <v>15728.4</v>
      </c>
      <c r="L969" s="3">
        <v>10485.6</v>
      </c>
      <c r="M969" s="3">
        <v>12618.78</v>
      </c>
      <c r="N969" s="4">
        <v>46143</v>
      </c>
      <c r="O969" s="3" t="str">
        <f t="shared" si="37"/>
        <v>Online</v>
      </c>
      <c r="P969" s="11">
        <v>8419000</v>
      </c>
      <c r="Q969" s="3">
        <v>5150900000</v>
      </c>
      <c r="R969" s="3">
        <v>3230700000</v>
      </c>
      <c r="S969" s="11">
        <v>12500000</v>
      </c>
    </row>
    <row r="970" spans="1:19" x14ac:dyDescent="0.35">
      <c r="A970" s="1" t="s">
        <v>91</v>
      </c>
      <c r="B970" s="1" t="str">
        <f t="shared" si="39"/>
        <v>American Express</v>
      </c>
      <c r="C970">
        <v>337</v>
      </c>
      <c r="D970">
        <v>337</v>
      </c>
      <c r="E970">
        <v>959</v>
      </c>
      <c r="F970" s="2">
        <v>530780.18999999994</v>
      </c>
      <c r="G970" s="2">
        <v>530780.18999999994</v>
      </c>
      <c r="H970" s="2">
        <v>0</v>
      </c>
      <c r="I970" s="2">
        <v>397140.31</v>
      </c>
      <c r="J970" s="2">
        <v>133639.88</v>
      </c>
      <c r="K970" s="3">
        <v>66819.95</v>
      </c>
      <c r="L970" s="3">
        <v>66819.95</v>
      </c>
      <c r="M970" s="3">
        <v>0</v>
      </c>
      <c r="N970" s="4">
        <v>46143</v>
      </c>
      <c r="O970" s="3" t="str">
        <f t="shared" si="37"/>
        <v>Offline - Box Office</v>
      </c>
      <c r="P970" s="11">
        <v>8419000</v>
      </c>
      <c r="Q970" s="3">
        <v>5150900000</v>
      </c>
      <c r="R970" s="3">
        <v>3230700000</v>
      </c>
      <c r="S970" s="11">
        <v>12500000</v>
      </c>
    </row>
    <row r="971" spans="1:19" x14ac:dyDescent="0.35">
      <c r="A971" s="1" t="s">
        <v>93</v>
      </c>
      <c r="B971" s="1" t="str">
        <f t="shared" si="39"/>
        <v>American Express</v>
      </c>
      <c r="C971">
        <v>2037</v>
      </c>
      <c r="D971">
        <v>2037</v>
      </c>
      <c r="E971">
        <v>5182</v>
      </c>
      <c r="F971" s="2">
        <v>3314447.99</v>
      </c>
      <c r="G971" s="2">
        <v>2961790.57</v>
      </c>
      <c r="H971" s="2">
        <v>37593</v>
      </c>
      <c r="I971" s="2">
        <v>2467500.86</v>
      </c>
      <c r="J971" s="2">
        <v>846947.13</v>
      </c>
      <c r="K971" s="3">
        <v>423473.75</v>
      </c>
      <c r="L971" s="3">
        <v>423473.75</v>
      </c>
      <c r="M971" s="3">
        <v>308737.86</v>
      </c>
      <c r="N971" s="4">
        <v>46143</v>
      </c>
      <c r="O971" s="3" t="str">
        <f t="shared" si="37"/>
        <v>Online</v>
      </c>
      <c r="P971" s="11">
        <v>8419000</v>
      </c>
      <c r="Q971" s="3">
        <v>5150900000</v>
      </c>
      <c r="R971" s="3">
        <v>3230700000</v>
      </c>
      <c r="S971" s="11">
        <v>12500000</v>
      </c>
    </row>
    <row r="972" spans="1:19" x14ac:dyDescent="0.35">
      <c r="A972" s="1" t="s">
        <v>43</v>
      </c>
      <c r="B972" s="1" t="str">
        <f t="shared" si="39"/>
        <v>Axis Bank</v>
      </c>
      <c r="C972">
        <v>26</v>
      </c>
      <c r="D972">
        <v>26</v>
      </c>
      <c r="E972">
        <v>67</v>
      </c>
      <c r="F972" s="2">
        <v>19071.080000000002</v>
      </c>
      <c r="G972" s="2">
        <v>19071.080000000002</v>
      </c>
      <c r="H972" s="2">
        <v>0</v>
      </c>
      <c r="I972" s="2">
        <v>14064.88</v>
      </c>
      <c r="J972" s="2">
        <v>5006.2</v>
      </c>
      <c r="K972" s="3">
        <v>4405.4399999999996</v>
      </c>
      <c r="L972" s="3">
        <v>600.76</v>
      </c>
      <c r="M972" s="3">
        <v>0</v>
      </c>
      <c r="N972" s="4">
        <v>46143</v>
      </c>
      <c r="O972" s="3" t="str">
        <f t="shared" si="37"/>
        <v>Offline - Box Office</v>
      </c>
      <c r="P972" s="11">
        <v>8419000</v>
      </c>
      <c r="Q972" s="3">
        <v>5150900000</v>
      </c>
      <c r="R972" s="3">
        <v>3230700000</v>
      </c>
      <c r="S972" s="11">
        <v>12500000</v>
      </c>
    </row>
    <row r="973" spans="1:19" x14ac:dyDescent="0.35">
      <c r="A973" s="1" t="s">
        <v>23</v>
      </c>
      <c r="B973" s="1" t="str">
        <f t="shared" si="39"/>
        <v>Axis Bank</v>
      </c>
      <c r="C973">
        <v>39</v>
      </c>
      <c r="D973">
        <v>39</v>
      </c>
      <c r="E973">
        <v>106</v>
      </c>
      <c r="F973" s="2">
        <v>33711.11</v>
      </c>
      <c r="G973" s="2">
        <v>29199.75</v>
      </c>
      <c r="H973" s="2">
        <v>0</v>
      </c>
      <c r="I973" s="2">
        <v>26378.73</v>
      </c>
      <c r="J973" s="2">
        <v>7332.38</v>
      </c>
      <c r="K973" s="3">
        <v>6232.52</v>
      </c>
      <c r="L973" s="3">
        <v>1099.8599999999999</v>
      </c>
      <c r="M973" s="3">
        <v>4385.3599999999997</v>
      </c>
      <c r="N973" s="4">
        <v>46143</v>
      </c>
      <c r="O973" s="3" t="str">
        <f t="shared" si="37"/>
        <v>Online</v>
      </c>
      <c r="P973" s="11">
        <v>8419000</v>
      </c>
      <c r="Q973" s="3">
        <v>5150900000</v>
      </c>
      <c r="R973" s="3">
        <v>3230700000</v>
      </c>
      <c r="S973" s="11">
        <v>12500000</v>
      </c>
    </row>
    <row r="974" spans="1:19" x14ac:dyDescent="0.35">
      <c r="A974" s="1" t="s">
        <v>44</v>
      </c>
      <c r="B974" s="1" t="str">
        <f t="shared" si="39"/>
        <v>Axis Bank</v>
      </c>
      <c r="C974">
        <v>291</v>
      </c>
      <c r="D974">
        <v>291</v>
      </c>
      <c r="E974">
        <v>774</v>
      </c>
      <c r="F974" s="2">
        <v>195493.31</v>
      </c>
      <c r="G974" s="2">
        <v>195493.31</v>
      </c>
      <c r="H974" s="2">
        <v>0</v>
      </c>
      <c r="I974" s="2">
        <v>139947.13</v>
      </c>
      <c r="J974" s="2">
        <v>55546.18</v>
      </c>
      <c r="K974" s="3">
        <v>48880.46</v>
      </c>
      <c r="L974" s="3">
        <v>6665.72</v>
      </c>
      <c r="M974" s="3">
        <v>0</v>
      </c>
      <c r="N974" s="4">
        <v>46143</v>
      </c>
      <c r="O974" s="3" t="str">
        <f t="shared" si="37"/>
        <v>Offline - Box Office</v>
      </c>
      <c r="P974" s="11">
        <v>8419000</v>
      </c>
      <c r="Q974" s="3">
        <v>5150900000</v>
      </c>
      <c r="R974" s="3">
        <v>3230700000</v>
      </c>
      <c r="S974" s="11">
        <v>12500000</v>
      </c>
    </row>
    <row r="975" spans="1:19" x14ac:dyDescent="0.35">
      <c r="A975" s="1" t="s">
        <v>24</v>
      </c>
      <c r="B975" s="1" t="str">
        <f t="shared" si="39"/>
        <v>Axis Bank</v>
      </c>
      <c r="C975">
        <v>1384</v>
      </c>
      <c r="D975">
        <v>1384</v>
      </c>
      <c r="E975">
        <v>3303</v>
      </c>
      <c r="F975" s="2">
        <v>912012.39</v>
      </c>
      <c r="G975" s="2">
        <v>778839.45</v>
      </c>
      <c r="H975" s="2">
        <v>9917</v>
      </c>
      <c r="I975" s="2">
        <v>651148.44999999995</v>
      </c>
      <c r="J975" s="2">
        <v>260863.94</v>
      </c>
      <c r="K975" s="3">
        <v>221734.35</v>
      </c>
      <c r="L975" s="3">
        <v>39129.589999999997</v>
      </c>
      <c r="M975" s="3">
        <v>120787.94</v>
      </c>
      <c r="N975" s="4">
        <v>46143</v>
      </c>
      <c r="O975" s="3" t="str">
        <f t="shared" si="37"/>
        <v>Online</v>
      </c>
      <c r="P975" s="11">
        <v>8419000</v>
      </c>
      <c r="Q975" s="3">
        <v>5150900000</v>
      </c>
      <c r="R975" s="3">
        <v>3230700000</v>
      </c>
      <c r="S975" s="11">
        <v>12500000</v>
      </c>
    </row>
    <row r="976" spans="1:19" x14ac:dyDescent="0.35">
      <c r="A976" s="1" t="s">
        <v>54</v>
      </c>
      <c r="B976" s="1" t="str">
        <f t="shared" si="39"/>
        <v>BOB Card</v>
      </c>
      <c r="C976">
        <v>78</v>
      </c>
      <c r="D976">
        <v>0</v>
      </c>
      <c r="E976">
        <v>142</v>
      </c>
      <c r="F976" s="2">
        <v>76296.11</v>
      </c>
      <c r="G976" s="2">
        <v>67113.350000000006</v>
      </c>
      <c r="H976" s="2">
        <v>8280</v>
      </c>
      <c r="I976" s="2">
        <v>69543.11</v>
      </c>
      <c r="J976" s="2">
        <v>6753</v>
      </c>
      <c r="K976" s="3">
        <v>4727.1000000000004</v>
      </c>
      <c r="L976" s="3">
        <v>2025.9</v>
      </c>
      <c r="M976" s="3">
        <v>884.76</v>
      </c>
      <c r="N976" s="4">
        <v>46143</v>
      </c>
      <c r="O976" s="3" t="str">
        <f t="shared" si="37"/>
        <v>Online</v>
      </c>
      <c r="P976" s="11">
        <v>8419000</v>
      </c>
      <c r="Q976" s="3">
        <v>5150900000</v>
      </c>
      <c r="R976" s="3">
        <v>3230700000</v>
      </c>
      <c r="S976" s="11">
        <v>12500000</v>
      </c>
    </row>
    <row r="977" spans="1:19" x14ac:dyDescent="0.35">
      <c r="A977" s="1" t="s">
        <v>55</v>
      </c>
      <c r="B977" s="1" t="str">
        <f t="shared" si="39"/>
        <v>BOB Card</v>
      </c>
      <c r="C977">
        <v>313</v>
      </c>
      <c r="D977">
        <v>0</v>
      </c>
      <c r="E977">
        <v>876</v>
      </c>
      <c r="F977" s="2">
        <v>278947.15000000002</v>
      </c>
      <c r="G977" s="2">
        <v>0</v>
      </c>
      <c r="H977" s="2">
        <v>278947.15000000002</v>
      </c>
      <c r="I977" s="2">
        <v>251358.15</v>
      </c>
      <c r="J977" s="2">
        <v>27589</v>
      </c>
      <c r="K977" s="3">
        <v>19312.3</v>
      </c>
      <c r="L977" s="3">
        <v>8276.7000000000007</v>
      </c>
      <c r="M977" s="3">
        <v>0</v>
      </c>
      <c r="N977" s="4">
        <v>46143</v>
      </c>
      <c r="O977" s="3" t="str">
        <f t="shared" si="37"/>
        <v>Offline - F&amp;B</v>
      </c>
      <c r="P977" s="11">
        <v>8419000</v>
      </c>
      <c r="Q977" s="3">
        <v>5150900000</v>
      </c>
      <c r="R977" s="3">
        <v>3230700000</v>
      </c>
      <c r="S977" s="11">
        <v>12500000</v>
      </c>
    </row>
    <row r="978" spans="1:19" x14ac:dyDescent="0.35">
      <c r="A978" s="1" t="s">
        <v>150</v>
      </c>
      <c r="B978" s="1" t="str">
        <f t="shared" si="39"/>
        <v>Kotak Mahindra Bank</v>
      </c>
      <c r="C978">
        <v>132</v>
      </c>
      <c r="D978">
        <v>132</v>
      </c>
      <c r="E978">
        <v>353</v>
      </c>
      <c r="F978" s="2">
        <v>116398.99</v>
      </c>
      <c r="G978" s="2">
        <v>98956.79</v>
      </c>
      <c r="H978" s="2">
        <v>2114</v>
      </c>
      <c r="I978" s="2">
        <v>87910.74</v>
      </c>
      <c r="J978" s="2">
        <v>28488.25</v>
      </c>
      <c r="K978" s="3">
        <v>28488.25</v>
      </c>
      <c r="L978" s="3">
        <v>0</v>
      </c>
      <c r="M978" s="3">
        <v>14896.2</v>
      </c>
      <c r="N978" s="4">
        <v>46143</v>
      </c>
      <c r="O978" s="3" t="str">
        <f t="shared" si="37"/>
        <v>Online</v>
      </c>
      <c r="P978" s="11">
        <v>8419000</v>
      </c>
      <c r="Q978" s="3">
        <v>5150900000</v>
      </c>
      <c r="R978" s="3">
        <v>3230700000</v>
      </c>
      <c r="S978" s="11">
        <v>12500000</v>
      </c>
    </row>
    <row r="979" spans="1:19" x14ac:dyDescent="0.35">
      <c r="A979" s="1" t="s">
        <v>27</v>
      </c>
      <c r="B979" s="1" t="str">
        <f t="shared" si="39"/>
        <v>Federal Bank</v>
      </c>
      <c r="C979">
        <v>82</v>
      </c>
      <c r="D979">
        <v>82</v>
      </c>
      <c r="E979">
        <v>237</v>
      </c>
      <c r="F979" s="2">
        <v>65315.59</v>
      </c>
      <c r="G979" s="2">
        <v>65315.59</v>
      </c>
      <c r="H979" s="2">
        <v>0</v>
      </c>
      <c r="I979" s="2">
        <v>57115.59</v>
      </c>
      <c r="J979" s="2">
        <v>8200</v>
      </c>
      <c r="K979" s="3">
        <v>8200</v>
      </c>
      <c r="L979" s="3">
        <v>0</v>
      </c>
      <c r="M979" s="3">
        <v>0</v>
      </c>
      <c r="N979" s="4">
        <v>46143</v>
      </c>
      <c r="O979" s="3" t="str">
        <f t="shared" si="37"/>
        <v>Offline - Box Office</v>
      </c>
      <c r="P979" s="11">
        <v>8419000</v>
      </c>
      <c r="Q979" s="3">
        <v>5150900000</v>
      </c>
      <c r="R979" s="3">
        <v>3230700000</v>
      </c>
      <c r="S979" s="11">
        <v>12500000</v>
      </c>
    </row>
    <row r="980" spans="1:19" x14ac:dyDescent="0.35">
      <c r="A980" s="1" t="s">
        <v>28</v>
      </c>
      <c r="B980" s="1" t="str">
        <f t="shared" si="39"/>
        <v>Federal Bank</v>
      </c>
      <c r="C980">
        <v>198</v>
      </c>
      <c r="D980">
        <v>198</v>
      </c>
      <c r="E980">
        <v>521</v>
      </c>
      <c r="F980" s="2">
        <v>177676.7</v>
      </c>
      <c r="G980" s="2">
        <v>151662.35999999999</v>
      </c>
      <c r="H980" s="2">
        <v>1825</v>
      </c>
      <c r="I980" s="2">
        <v>157900.70000000001</v>
      </c>
      <c r="J980" s="2">
        <v>19776</v>
      </c>
      <c r="K980" s="3">
        <v>19776</v>
      </c>
      <c r="L980" s="3">
        <v>0</v>
      </c>
      <c r="M980" s="3">
        <v>23733.34</v>
      </c>
      <c r="N980" s="4">
        <v>46143</v>
      </c>
      <c r="O980" s="3" t="str">
        <f t="shared" si="37"/>
        <v>Online</v>
      </c>
      <c r="P980" s="11">
        <v>8419000</v>
      </c>
      <c r="Q980" s="3">
        <v>5150900000</v>
      </c>
      <c r="R980" s="3">
        <v>3230700000</v>
      </c>
      <c r="S980" s="11">
        <v>12500000</v>
      </c>
    </row>
    <row r="981" spans="1:19" x14ac:dyDescent="0.35">
      <c r="A981" s="1" t="s">
        <v>29</v>
      </c>
      <c r="B981" s="1" t="str">
        <f t="shared" si="39"/>
        <v>Federal Bank</v>
      </c>
      <c r="C981">
        <v>271</v>
      </c>
      <c r="D981">
        <v>271</v>
      </c>
      <c r="E981">
        <v>748</v>
      </c>
      <c r="F981" s="2">
        <v>188308.01</v>
      </c>
      <c r="G981" s="2">
        <v>188308.01</v>
      </c>
      <c r="H981" s="2">
        <v>0</v>
      </c>
      <c r="I981" s="2">
        <v>161272.57999999999</v>
      </c>
      <c r="J981" s="2">
        <v>27035.43</v>
      </c>
      <c r="K981" s="3">
        <v>27035.43</v>
      </c>
      <c r="L981" s="3">
        <v>0</v>
      </c>
      <c r="M981" s="3">
        <v>0</v>
      </c>
      <c r="N981" s="4">
        <v>46143</v>
      </c>
      <c r="O981" s="3" t="str">
        <f t="shared" si="37"/>
        <v>Offline - Box Office</v>
      </c>
      <c r="P981" s="11">
        <v>8419000</v>
      </c>
      <c r="Q981" s="3">
        <v>5150900000</v>
      </c>
      <c r="R981" s="3">
        <v>3230700000</v>
      </c>
      <c r="S981" s="11">
        <v>12500000</v>
      </c>
    </row>
    <row r="982" spans="1:19" x14ac:dyDescent="0.35">
      <c r="A982" s="1" t="s">
        <v>30</v>
      </c>
      <c r="B982" s="1" t="str">
        <f t="shared" si="39"/>
        <v>Federal Bank</v>
      </c>
      <c r="C982">
        <v>448</v>
      </c>
      <c r="D982">
        <v>448</v>
      </c>
      <c r="E982">
        <v>1097</v>
      </c>
      <c r="F982" s="2">
        <v>313161.82</v>
      </c>
      <c r="G982" s="2">
        <v>264808.7</v>
      </c>
      <c r="H982" s="2">
        <v>3772</v>
      </c>
      <c r="I982" s="2">
        <v>268687.90000000002</v>
      </c>
      <c r="J982" s="2">
        <v>44473.919999999998</v>
      </c>
      <c r="K982" s="3">
        <v>44473.919999999998</v>
      </c>
      <c r="L982" s="3">
        <v>0</v>
      </c>
      <c r="M982" s="3">
        <v>43733.84</v>
      </c>
      <c r="N982" s="4">
        <v>46143</v>
      </c>
      <c r="O982" s="3" t="str">
        <f t="shared" si="37"/>
        <v>Online</v>
      </c>
      <c r="P982" s="11">
        <v>8419000</v>
      </c>
      <c r="Q982" s="3">
        <v>5150900000</v>
      </c>
      <c r="R982" s="3">
        <v>3230700000</v>
      </c>
      <c r="S982" s="11">
        <v>12500000</v>
      </c>
    </row>
    <row r="983" spans="1:19" x14ac:dyDescent="0.35">
      <c r="A983" s="1" t="s">
        <v>151</v>
      </c>
      <c r="B983" s="1" t="str">
        <f t="shared" si="39"/>
        <v>AU Bank</v>
      </c>
      <c r="C983">
        <v>277</v>
      </c>
      <c r="D983">
        <v>277</v>
      </c>
      <c r="E983">
        <v>912</v>
      </c>
      <c r="F983" s="2">
        <v>262854.2</v>
      </c>
      <c r="G983" s="2">
        <v>262854.2</v>
      </c>
      <c r="H983" s="2">
        <v>0</v>
      </c>
      <c r="I983" s="2">
        <v>228328.2</v>
      </c>
      <c r="J983" s="2">
        <v>34526</v>
      </c>
      <c r="K983" s="3">
        <v>24168.2</v>
      </c>
      <c r="L983" s="3">
        <v>10357.799999999999</v>
      </c>
      <c r="M983" s="3">
        <v>0</v>
      </c>
      <c r="N983" s="4">
        <v>46143</v>
      </c>
      <c r="O983" s="3" t="str">
        <f t="shared" si="37"/>
        <v>Offline - Box Office</v>
      </c>
      <c r="P983" s="11">
        <v>8419000</v>
      </c>
      <c r="Q983" s="3">
        <v>5150900000</v>
      </c>
      <c r="R983" s="3">
        <v>3230700000</v>
      </c>
      <c r="S983" s="11">
        <v>12500000</v>
      </c>
    </row>
    <row r="984" spans="1:19" x14ac:dyDescent="0.35">
      <c r="A984" s="1" t="s">
        <v>152</v>
      </c>
      <c r="B984" s="1" t="str">
        <f t="shared" si="39"/>
        <v>AU Bank</v>
      </c>
      <c r="C984">
        <v>271</v>
      </c>
      <c r="D984">
        <v>271</v>
      </c>
      <c r="E984">
        <v>775</v>
      </c>
      <c r="F984" s="2">
        <v>265745.27</v>
      </c>
      <c r="G984" s="2">
        <v>224894.71</v>
      </c>
      <c r="H984" s="2">
        <v>6988</v>
      </c>
      <c r="I984" s="2">
        <v>231936.27</v>
      </c>
      <c r="J984" s="2">
        <v>33809</v>
      </c>
      <c r="K984" s="3">
        <v>23666.3</v>
      </c>
      <c r="L984" s="3">
        <v>10142.700000000001</v>
      </c>
      <c r="M984" s="3">
        <v>33120.559999999998</v>
      </c>
      <c r="N984" s="4">
        <v>46143</v>
      </c>
      <c r="O984" s="3" t="str">
        <f t="shared" si="37"/>
        <v>Online</v>
      </c>
      <c r="P984" s="11">
        <v>8419000</v>
      </c>
      <c r="Q984" s="3">
        <v>5150900000</v>
      </c>
      <c r="R984" s="3">
        <v>3230700000</v>
      </c>
      <c r="S984" s="11">
        <v>12500000</v>
      </c>
    </row>
    <row r="985" spans="1:19" x14ac:dyDescent="0.35">
      <c r="A985" s="1" t="s">
        <v>133</v>
      </c>
      <c r="B985" s="1" t="str">
        <f t="shared" si="39"/>
        <v>HDFC Bank</v>
      </c>
      <c r="C985">
        <v>120</v>
      </c>
      <c r="D985">
        <v>0</v>
      </c>
      <c r="E985">
        <v>162</v>
      </c>
      <c r="F985" s="2">
        <v>100964</v>
      </c>
      <c r="G985" s="2">
        <v>0</v>
      </c>
      <c r="H985" s="2">
        <v>100964</v>
      </c>
      <c r="I985" s="2">
        <v>88964</v>
      </c>
      <c r="J985" s="2">
        <v>12000</v>
      </c>
      <c r="K985" s="3">
        <v>12000</v>
      </c>
      <c r="L985" s="3">
        <v>0</v>
      </c>
      <c r="M985" s="3">
        <v>0</v>
      </c>
      <c r="N985" s="4">
        <v>46143</v>
      </c>
      <c r="O985" s="3" t="str">
        <f t="shared" si="37"/>
        <v>Offline - F&amp;B</v>
      </c>
      <c r="P985" s="11">
        <v>8419000</v>
      </c>
      <c r="Q985" s="3">
        <v>5150900000</v>
      </c>
      <c r="R985" s="3">
        <v>3230700000</v>
      </c>
      <c r="S985" s="11">
        <v>12500000</v>
      </c>
    </row>
    <row r="986" spans="1:19" x14ac:dyDescent="0.35">
      <c r="A986" s="1" t="s">
        <v>32</v>
      </c>
      <c r="B986" s="1" t="str">
        <f t="shared" si="39"/>
        <v>ICICI Bank</v>
      </c>
      <c r="C986">
        <v>2365</v>
      </c>
      <c r="D986">
        <v>0</v>
      </c>
      <c r="E986">
        <v>6907</v>
      </c>
      <c r="F986" s="2">
        <v>1684747.57</v>
      </c>
      <c r="G986" s="2">
        <v>1684998.88</v>
      </c>
      <c r="H986" s="2">
        <v>0</v>
      </c>
      <c r="I986" s="2">
        <v>1439961.57</v>
      </c>
      <c r="J986" s="2">
        <v>244786</v>
      </c>
      <c r="K986" s="3">
        <v>215411.68</v>
      </c>
      <c r="L986" s="3">
        <v>29374.32</v>
      </c>
      <c r="M986" s="3">
        <v>0</v>
      </c>
      <c r="N986" s="4">
        <v>46143</v>
      </c>
      <c r="O986" s="3" t="str">
        <f t="shared" si="37"/>
        <v>Offline - Box Office</v>
      </c>
      <c r="P986" s="11">
        <v>8419000</v>
      </c>
      <c r="Q986" s="3">
        <v>5150900000</v>
      </c>
      <c r="R986" s="3">
        <v>3230700000</v>
      </c>
      <c r="S986" s="11">
        <v>12500000</v>
      </c>
    </row>
    <row r="987" spans="1:19" x14ac:dyDescent="0.35">
      <c r="A987" s="1" t="s">
        <v>33</v>
      </c>
      <c r="B987" s="1" t="str">
        <f t="shared" si="39"/>
        <v>ICICI Bank</v>
      </c>
      <c r="C987">
        <v>876</v>
      </c>
      <c r="D987">
        <v>0</v>
      </c>
      <c r="E987">
        <v>2486</v>
      </c>
      <c r="F987" s="2">
        <v>725362.94</v>
      </c>
      <c r="G987" s="2">
        <v>612150.36</v>
      </c>
      <c r="H987" s="2">
        <v>16746</v>
      </c>
      <c r="I987" s="2">
        <v>633031.93999999994</v>
      </c>
      <c r="J987" s="2">
        <v>92331</v>
      </c>
      <c r="K987" s="3">
        <v>78481.350000000006</v>
      </c>
      <c r="L987" s="3">
        <v>13849.65</v>
      </c>
      <c r="M987" s="3">
        <v>94321.2</v>
      </c>
      <c r="N987" s="4">
        <v>46143</v>
      </c>
      <c r="O987" s="3" t="str">
        <f t="shared" si="37"/>
        <v>Online</v>
      </c>
      <c r="P987" s="11">
        <v>8419000</v>
      </c>
      <c r="Q987" s="3">
        <v>5150900000</v>
      </c>
      <c r="R987" s="3">
        <v>3230700000</v>
      </c>
      <c r="S987" s="11">
        <v>12500000</v>
      </c>
    </row>
    <row r="988" spans="1:19" x14ac:dyDescent="0.35">
      <c r="A988" s="1" t="s">
        <v>34</v>
      </c>
      <c r="B988" s="1" t="str">
        <f t="shared" si="39"/>
        <v>ICICI Bank</v>
      </c>
      <c r="C988">
        <v>299</v>
      </c>
      <c r="D988">
        <v>0</v>
      </c>
      <c r="E988">
        <v>856</v>
      </c>
      <c r="F988" s="2">
        <v>213353.1</v>
      </c>
      <c r="G988" s="2">
        <v>213456.5</v>
      </c>
      <c r="H988" s="2">
        <v>0</v>
      </c>
      <c r="I988" s="2">
        <v>197705.1</v>
      </c>
      <c r="J988" s="2">
        <v>15648</v>
      </c>
      <c r="K988" s="3">
        <v>13770.24</v>
      </c>
      <c r="L988" s="3">
        <v>1877.76</v>
      </c>
      <c r="M988" s="3">
        <v>0</v>
      </c>
      <c r="N988" s="4">
        <v>46143</v>
      </c>
      <c r="O988" s="3" t="str">
        <f t="shared" si="37"/>
        <v>Offline - Box Office</v>
      </c>
      <c r="P988" s="11">
        <v>8419000</v>
      </c>
      <c r="Q988" s="3">
        <v>5150900000</v>
      </c>
      <c r="R988" s="3">
        <v>3230700000</v>
      </c>
      <c r="S988" s="11">
        <v>12500000</v>
      </c>
    </row>
    <row r="989" spans="1:19" x14ac:dyDescent="0.35">
      <c r="A989" s="1" t="s">
        <v>35</v>
      </c>
      <c r="B989" s="1" t="str">
        <f t="shared" si="39"/>
        <v>ICICI Bank</v>
      </c>
      <c r="C989">
        <v>110</v>
      </c>
      <c r="D989">
        <v>0</v>
      </c>
      <c r="E989">
        <v>317</v>
      </c>
      <c r="F989" s="2">
        <v>102700.51</v>
      </c>
      <c r="G989" s="2">
        <v>86360.23</v>
      </c>
      <c r="H989" s="2">
        <v>2815</v>
      </c>
      <c r="I989" s="2">
        <v>96540.51</v>
      </c>
      <c r="J989" s="2">
        <v>6160</v>
      </c>
      <c r="K989" s="3">
        <v>5236</v>
      </c>
      <c r="L989" s="3">
        <v>924</v>
      </c>
      <c r="M989" s="3">
        <v>13232.26</v>
      </c>
      <c r="N989" s="4">
        <v>46143</v>
      </c>
      <c r="O989" s="3" t="str">
        <f t="shared" si="37"/>
        <v>Online</v>
      </c>
      <c r="P989" s="11">
        <v>8419000</v>
      </c>
      <c r="Q989" s="3">
        <v>5150900000</v>
      </c>
      <c r="R989" s="3">
        <v>3230700000</v>
      </c>
      <c r="S989" s="11">
        <v>12500000</v>
      </c>
    </row>
    <row r="990" spans="1:19" x14ac:dyDescent="0.35">
      <c r="A990" s="1" t="s">
        <v>48</v>
      </c>
      <c r="B990" s="1" t="str">
        <f t="shared" si="39"/>
        <v>IDBI Bank</v>
      </c>
      <c r="C990">
        <v>311</v>
      </c>
      <c r="D990">
        <v>0</v>
      </c>
      <c r="E990">
        <v>778</v>
      </c>
      <c r="F990" s="2">
        <v>194482.88</v>
      </c>
      <c r="G990" s="2">
        <v>194532.23</v>
      </c>
      <c r="H990" s="2">
        <v>0</v>
      </c>
      <c r="I990" s="2">
        <v>158132.88</v>
      </c>
      <c r="J990" s="2">
        <v>36350</v>
      </c>
      <c r="K990" s="3">
        <v>36350</v>
      </c>
      <c r="L990" s="3">
        <v>0</v>
      </c>
      <c r="M990" s="3">
        <v>0</v>
      </c>
      <c r="N990" s="4">
        <v>46143</v>
      </c>
      <c r="O990" s="3" t="str">
        <f t="shared" si="37"/>
        <v>Offline - Box Office</v>
      </c>
      <c r="P990" s="11">
        <v>8419000</v>
      </c>
      <c r="Q990" s="3">
        <v>5150900000</v>
      </c>
      <c r="R990" s="3">
        <v>3230700000</v>
      </c>
      <c r="S990" s="11">
        <v>12500000</v>
      </c>
    </row>
    <row r="991" spans="1:19" x14ac:dyDescent="0.35">
      <c r="A991" s="1" t="s">
        <v>37</v>
      </c>
      <c r="B991" s="1" t="str">
        <f t="shared" si="39"/>
        <v>IDBI Bank</v>
      </c>
      <c r="C991">
        <v>295</v>
      </c>
      <c r="D991">
        <v>0</v>
      </c>
      <c r="E991">
        <v>699</v>
      </c>
      <c r="F991" s="2">
        <v>212908.14</v>
      </c>
      <c r="G991" s="2">
        <v>181091.98</v>
      </c>
      <c r="H991" s="2">
        <v>6789</v>
      </c>
      <c r="I991" s="2">
        <v>177638.14</v>
      </c>
      <c r="J991" s="2">
        <v>35270</v>
      </c>
      <c r="K991" s="3">
        <v>35270</v>
      </c>
      <c r="L991" s="3">
        <v>0</v>
      </c>
      <c r="M991" s="3">
        <v>24419.16</v>
      </c>
      <c r="N991" s="4">
        <v>46143</v>
      </c>
      <c r="O991" s="3" t="str">
        <f t="shared" si="37"/>
        <v>Online</v>
      </c>
      <c r="P991" s="11">
        <v>8419000</v>
      </c>
      <c r="Q991" s="3">
        <v>5150900000</v>
      </c>
      <c r="R991" s="3">
        <v>3230700000</v>
      </c>
      <c r="S991" s="11">
        <v>12500000</v>
      </c>
    </row>
    <row r="992" spans="1:19" x14ac:dyDescent="0.35">
      <c r="A992" s="1" t="s">
        <v>144</v>
      </c>
      <c r="B992" s="1" t="str">
        <f t="shared" si="39"/>
        <v>IDBI Bank</v>
      </c>
      <c r="C992">
        <v>1</v>
      </c>
      <c r="D992">
        <v>0</v>
      </c>
      <c r="E992">
        <v>3</v>
      </c>
      <c r="F992" s="2">
        <v>1085</v>
      </c>
      <c r="G992" s="2">
        <v>0</v>
      </c>
      <c r="H992" s="2">
        <v>1085</v>
      </c>
      <c r="I992" s="2">
        <v>935</v>
      </c>
      <c r="J992" s="2">
        <v>150</v>
      </c>
      <c r="K992" s="3">
        <v>105</v>
      </c>
      <c r="L992" s="3">
        <v>45</v>
      </c>
      <c r="M992" s="3">
        <v>0</v>
      </c>
      <c r="N992" s="4">
        <v>46143</v>
      </c>
      <c r="O992" s="3" t="str">
        <f t="shared" si="37"/>
        <v>Offline - F&amp;B</v>
      </c>
      <c r="P992" s="11">
        <v>8419000</v>
      </c>
      <c r="Q992" s="3">
        <v>5150900000</v>
      </c>
      <c r="R992" s="3">
        <v>3230700000</v>
      </c>
      <c r="S992" s="11">
        <v>12500000</v>
      </c>
    </row>
    <row r="993" spans="1:19" x14ac:dyDescent="0.35">
      <c r="A993" s="1" t="s">
        <v>49</v>
      </c>
      <c r="B993" s="1" t="str">
        <f t="shared" si="39"/>
        <v>IDBI Bank</v>
      </c>
      <c r="C993">
        <v>552</v>
      </c>
      <c r="D993">
        <v>0</v>
      </c>
      <c r="E993">
        <v>1482</v>
      </c>
      <c r="F993" s="2">
        <v>425352.29</v>
      </c>
      <c r="G993" s="2">
        <v>0</v>
      </c>
      <c r="H993" s="2">
        <v>425352.29</v>
      </c>
      <c r="I993" s="2">
        <v>358862.29</v>
      </c>
      <c r="J993" s="2">
        <v>66490</v>
      </c>
      <c r="K993" s="3">
        <v>46543</v>
      </c>
      <c r="L993" s="3">
        <v>19947</v>
      </c>
      <c r="M993" s="3">
        <v>0</v>
      </c>
      <c r="N993" s="4">
        <v>46143</v>
      </c>
      <c r="O993" s="3" t="str">
        <f t="shared" si="37"/>
        <v>Offline - F&amp;B</v>
      </c>
      <c r="P993" s="11">
        <v>8419000</v>
      </c>
      <c r="Q993" s="3">
        <v>5150900000</v>
      </c>
      <c r="R993" s="3">
        <v>3230700000</v>
      </c>
      <c r="S993" s="11">
        <v>12500000</v>
      </c>
    </row>
    <row r="994" spans="1:19" x14ac:dyDescent="0.35">
      <c r="A994" s="1" t="s">
        <v>52</v>
      </c>
      <c r="B994" s="1" t="str">
        <f t="shared" si="39"/>
        <v>Kotak Mahindra Bank</v>
      </c>
      <c r="C994">
        <v>42</v>
      </c>
      <c r="D994">
        <v>42</v>
      </c>
      <c r="E994">
        <v>97</v>
      </c>
      <c r="F994" s="2">
        <v>79467.7</v>
      </c>
      <c r="G994" s="2">
        <v>72822</v>
      </c>
      <c r="H994" s="2">
        <v>0</v>
      </c>
      <c r="I994" s="2">
        <v>51524.7</v>
      </c>
      <c r="J994" s="2">
        <v>27943</v>
      </c>
      <c r="K994" s="3">
        <v>27943</v>
      </c>
      <c r="L994" s="3">
        <v>0</v>
      </c>
      <c r="M994" s="3">
        <v>6515.7</v>
      </c>
      <c r="N994" s="4">
        <v>46143</v>
      </c>
      <c r="O994" s="3" t="str">
        <f t="shared" si="37"/>
        <v>Online</v>
      </c>
      <c r="P994" s="11">
        <v>8419000</v>
      </c>
      <c r="Q994" s="3">
        <v>5150900000</v>
      </c>
      <c r="R994" s="3">
        <v>3230700000</v>
      </c>
      <c r="S994" s="11">
        <v>12500000</v>
      </c>
    </row>
    <row r="995" spans="1:19" x14ac:dyDescent="0.35">
      <c r="A995" s="1" t="s">
        <v>134</v>
      </c>
      <c r="B995" s="1" t="str">
        <f t="shared" si="39"/>
        <v>Kotak Mahindra Bank</v>
      </c>
      <c r="C995">
        <v>339</v>
      </c>
      <c r="D995">
        <v>339</v>
      </c>
      <c r="E995">
        <v>826</v>
      </c>
      <c r="F995" s="2">
        <v>227637.46</v>
      </c>
      <c r="G995" s="2">
        <v>195114.38</v>
      </c>
      <c r="H995" s="2">
        <v>2485</v>
      </c>
      <c r="I995" s="2">
        <v>156087.16</v>
      </c>
      <c r="J995" s="2">
        <v>71550.3</v>
      </c>
      <c r="K995" s="3">
        <v>71550.3</v>
      </c>
      <c r="L995" s="3">
        <v>0</v>
      </c>
      <c r="M995" s="3">
        <v>29294.639999999999</v>
      </c>
      <c r="N995" s="4">
        <v>46143</v>
      </c>
      <c r="O995" s="3" t="str">
        <f t="shared" si="37"/>
        <v>Online</v>
      </c>
      <c r="P995" s="11">
        <v>8419000</v>
      </c>
      <c r="Q995" s="3">
        <v>5150900000</v>
      </c>
      <c r="R995" s="3">
        <v>3230700000</v>
      </c>
      <c r="S995" s="11">
        <v>12500000</v>
      </c>
    </row>
    <row r="996" spans="1:19" x14ac:dyDescent="0.35">
      <c r="A996" s="1" t="s">
        <v>153</v>
      </c>
      <c r="B996" s="1" t="str">
        <f t="shared" si="39"/>
        <v>Kotak Mahindra Bank</v>
      </c>
      <c r="C996">
        <v>120</v>
      </c>
      <c r="D996">
        <v>120</v>
      </c>
      <c r="E996">
        <v>256</v>
      </c>
      <c r="F996" s="2">
        <v>185236</v>
      </c>
      <c r="G996" s="2">
        <v>168041</v>
      </c>
      <c r="H996" s="2">
        <v>0</v>
      </c>
      <c r="I996" s="2">
        <v>113330</v>
      </c>
      <c r="J996" s="2">
        <v>71906</v>
      </c>
      <c r="K996" s="3">
        <v>71906</v>
      </c>
      <c r="L996" s="3">
        <v>0</v>
      </c>
      <c r="M996" s="3">
        <v>16951</v>
      </c>
      <c r="N996" s="4">
        <v>46143</v>
      </c>
      <c r="O996" s="3" t="str">
        <f t="shared" si="37"/>
        <v>Online</v>
      </c>
      <c r="P996" s="11">
        <v>8419000</v>
      </c>
      <c r="Q996" s="3">
        <v>5150900000</v>
      </c>
      <c r="R996" s="3">
        <v>3230700000</v>
      </c>
      <c r="S996" s="11">
        <v>12500000</v>
      </c>
    </row>
    <row r="997" spans="1:19" x14ac:dyDescent="0.35">
      <c r="A997" s="1" t="s">
        <v>154</v>
      </c>
      <c r="B997" s="1" t="str">
        <f t="shared" si="39"/>
        <v>Kotak Mahindra Bank</v>
      </c>
      <c r="C997">
        <v>21558</v>
      </c>
      <c r="D997">
        <v>0</v>
      </c>
      <c r="E997">
        <v>51094</v>
      </c>
      <c r="F997" s="2">
        <v>14498079.970000001</v>
      </c>
      <c r="G997" s="2">
        <v>671379.54</v>
      </c>
      <c r="H997" s="2">
        <v>13819105.949999999</v>
      </c>
      <c r="I997" s="2">
        <v>11608871.970000001</v>
      </c>
      <c r="J997" s="2">
        <v>2889208</v>
      </c>
      <c r="K997" s="3">
        <v>0</v>
      </c>
      <c r="L997" s="3">
        <v>2889208</v>
      </c>
      <c r="M997" s="3">
        <v>7396.48</v>
      </c>
      <c r="N997" s="4">
        <v>46143</v>
      </c>
      <c r="O997" s="3" t="str">
        <f t="shared" si="37"/>
        <v>Offline - F&amp;B</v>
      </c>
      <c r="P997" s="11">
        <v>8419000</v>
      </c>
      <c r="Q997" s="3">
        <v>5150900000</v>
      </c>
      <c r="R997" s="3">
        <v>3230700000</v>
      </c>
      <c r="S997" s="11">
        <v>12500000</v>
      </c>
    </row>
    <row r="998" spans="1:19" x14ac:dyDescent="0.35">
      <c r="A998" s="1" t="s">
        <v>58</v>
      </c>
      <c r="B998" s="1" t="str">
        <f t="shared" si="39"/>
        <v>Kotak Mahindra Bank</v>
      </c>
      <c r="C998">
        <v>4238</v>
      </c>
      <c r="D998">
        <v>0</v>
      </c>
      <c r="E998">
        <v>9983</v>
      </c>
      <c r="F998" s="2">
        <v>2857930.48</v>
      </c>
      <c r="G998" s="2">
        <v>2727696.05</v>
      </c>
      <c r="H998" s="2">
        <v>1420</v>
      </c>
      <c r="I998" s="2">
        <v>2754488.44</v>
      </c>
      <c r="J998" s="2">
        <v>103538</v>
      </c>
      <c r="K998" s="3">
        <v>0</v>
      </c>
      <c r="L998" s="3">
        <v>103538</v>
      </c>
      <c r="M998" s="3">
        <v>127214.72</v>
      </c>
      <c r="N998" s="4">
        <v>46143</v>
      </c>
      <c r="O998" s="3" t="str">
        <f t="shared" si="37"/>
        <v>Other</v>
      </c>
      <c r="P998" s="11">
        <v>8419000</v>
      </c>
      <c r="Q998" s="3">
        <v>5150900000</v>
      </c>
      <c r="R998" s="3">
        <v>3230700000</v>
      </c>
      <c r="S998" s="11">
        <v>12500000</v>
      </c>
    </row>
    <row r="999" spans="1:19" x14ac:dyDescent="0.35">
      <c r="A999" s="1" t="s">
        <v>135</v>
      </c>
      <c r="B999" s="1" t="str">
        <f t="shared" si="39"/>
        <v>Kotak Mahindra Bank</v>
      </c>
      <c r="C999">
        <v>228</v>
      </c>
      <c r="D999">
        <v>228</v>
      </c>
      <c r="E999">
        <v>530</v>
      </c>
      <c r="F999" s="2">
        <v>462485.34</v>
      </c>
      <c r="G999" s="2">
        <v>422785</v>
      </c>
      <c r="H999" s="2">
        <v>2200</v>
      </c>
      <c r="I999" s="2">
        <v>279941.34000000003</v>
      </c>
      <c r="J999" s="2">
        <v>182544</v>
      </c>
      <c r="K999" s="3">
        <v>182544</v>
      </c>
      <c r="L999" s="3">
        <v>0</v>
      </c>
      <c r="M999" s="3">
        <v>36884.339999999997</v>
      </c>
      <c r="N999" s="4">
        <v>46143</v>
      </c>
      <c r="O999" s="3" t="str">
        <f t="shared" si="37"/>
        <v>Online</v>
      </c>
      <c r="P999" s="11">
        <v>8419000</v>
      </c>
      <c r="Q999" s="3">
        <v>5150900000</v>
      </c>
      <c r="R999" s="3">
        <v>3230700000</v>
      </c>
      <c r="S999" s="11">
        <v>12500000</v>
      </c>
    </row>
    <row r="1000" spans="1:19" x14ac:dyDescent="0.35">
      <c r="A1000" s="1" t="s">
        <v>147</v>
      </c>
      <c r="B1000" s="1" t="str">
        <f t="shared" si="39"/>
        <v>OneCard</v>
      </c>
      <c r="C1000">
        <v>1392</v>
      </c>
      <c r="D1000">
        <v>0</v>
      </c>
      <c r="E1000">
        <v>3504</v>
      </c>
      <c r="F1000" s="2">
        <v>1146422.28</v>
      </c>
      <c r="G1000" s="2">
        <v>977740.91</v>
      </c>
      <c r="H1000" s="2">
        <v>20189</v>
      </c>
      <c r="I1000" s="2">
        <v>946424.28</v>
      </c>
      <c r="J1000" s="2">
        <v>199998</v>
      </c>
      <c r="K1000" s="3">
        <v>179998.2</v>
      </c>
      <c r="L1000" s="3">
        <v>19999.8</v>
      </c>
      <c r="M1000" s="3">
        <v>145623.6</v>
      </c>
      <c r="N1000" s="4">
        <v>46143</v>
      </c>
      <c r="O1000" s="3" t="str">
        <f t="shared" si="37"/>
        <v>Online</v>
      </c>
      <c r="P1000" s="11">
        <v>8419000</v>
      </c>
      <c r="Q1000" s="3">
        <v>5150900000</v>
      </c>
      <c r="R1000" s="3">
        <v>3230700000</v>
      </c>
      <c r="S1000" s="11">
        <v>12500000</v>
      </c>
    </row>
    <row r="1001" spans="1:19" x14ac:dyDescent="0.35">
      <c r="A1001" s="1" t="s">
        <v>155</v>
      </c>
      <c r="B1001" s="1" t="str">
        <f t="shared" si="39"/>
        <v>State Bank of India</v>
      </c>
      <c r="C1001">
        <v>1475</v>
      </c>
      <c r="D1001">
        <v>0</v>
      </c>
      <c r="E1001">
        <v>4301</v>
      </c>
      <c r="F1001" s="2">
        <v>1242219.5900000001</v>
      </c>
      <c r="G1001" s="2">
        <v>0</v>
      </c>
      <c r="H1001" s="2">
        <v>1242219.5900000001</v>
      </c>
      <c r="I1001" s="2">
        <v>1094719.5900000001</v>
      </c>
      <c r="J1001" s="2">
        <v>147500</v>
      </c>
      <c r="K1001" s="3">
        <v>118000</v>
      </c>
      <c r="L1001" s="3">
        <v>29500</v>
      </c>
      <c r="M1001" s="3">
        <v>0</v>
      </c>
      <c r="N1001" s="4">
        <v>46143</v>
      </c>
      <c r="O1001" s="3" t="str">
        <f t="shared" si="37"/>
        <v>Offline - F&amp;B</v>
      </c>
      <c r="P1001" s="11">
        <v>8419000</v>
      </c>
      <c r="Q1001" s="3">
        <v>5150900000</v>
      </c>
      <c r="R1001" s="3">
        <v>3230700000</v>
      </c>
      <c r="S1001" s="11">
        <v>12500000</v>
      </c>
    </row>
    <row r="1002" spans="1:19" x14ac:dyDescent="0.35">
      <c r="A1002" s="1" t="s">
        <v>156</v>
      </c>
      <c r="B1002" s="1" t="str">
        <f t="shared" si="39"/>
        <v>State Bank of India</v>
      </c>
      <c r="C1002">
        <v>2218</v>
      </c>
      <c r="D1002">
        <v>2218</v>
      </c>
      <c r="E1002">
        <v>6274</v>
      </c>
      <c r="F1002" s="2">
        <v>1562186.46</v>
      </c>
      <c r="G1002" s="2">
        <v>1562236.6</v>
      </c>
      <c r="H1002" s="2">
        <v>0</v>
      </c>
      <c r="I1002" s="2">
        <v>1096791.21</v>
      </c>
      <c r="J1002" s="2">
        <v>465395.25</v>
      </c>
      <c r="K1002" s="3">
        <v>465395.25</v>
      </c>
      <c r="L1002" s="3">
        <v>0</v>
      </c>
      <c r="M1002" s="3">
        <v>0</v>
      </c>
      <c r="N1002" s="4">
        <v>46143</v>
      </c>
      <c r="O1002" s="3" t="str">
        <f t="shared" si="37"/>
        <v>Offline - Box Office</v>
      </c>
      <c r="P1002" s="11">
        <v>8419000</v>
      </c>
      <c r="Q1002" s="3">
        <v>5150900000</v>
      </c>
      <c r="R1002" s="3">
        <v>3230700000</v>
      </c>
      <c r="S1002" s="11">
        <v>12500000</v>
      </c>
    </row>
    <row r="1003" spans="1:19" x14ac:dyDescent="0.35">
      <c r="A1003" s="1" t="s">
        <v>40</v>
      </c>
      <c r="B1003" s="1" t="str">
        <f t="shared" si="39"/>
        <v>Standard Chartered Bank</v>
      </c>
      <c r="C1003">
        <v>3</v>
      </c>
      <c r="D1003">
        <v>3</v>
      </c>
      <c r="E1003">
        <v>10</v>
      </c>
      <c r="F1003" s="2">
        <v>2262.8000000000002</v>
      </c>
      <c r="G1003" s="2">
        <v>2262.8000000000002</v>
      </c>
      <c r="H1003" s="2">
        <v>0</v>
      </c>
      <c r="I1003" s="2">
        <v>1679</v>
      </c>
      <c r="J1003" s="2">
        <v>583.79999999999995</v>
      </c>
      <c r="K1003" s="3">
        <v>583.79999999999995</v>
      </c>
      <c r="L1003" s="3">
        <v>0</v>
      </c>
      <c r="M1003" s="3">
        <v>0</v>
      </c>
      <c r="N1003" s="4">
        <v>46143</v>
      </c>
      <c r="O1003" s="3" t="str">
        <f t="shared" si="37"/>
        <v>Offline - Box Office</v>
      </c>
      <c r="P1003" s="11">
        <v>8419000</v>
      </c>
      <c r="Q1003" s="3">
        <v>5150900000</v>
      </c>
      <c r="R1003" s="3">
        <v>3230700000</v>
      </c>
      <c r="S1003" s="11">
        <v>12500000</v>
      </c>
    </row>
    <row r="1004" spans="1:19" x14ac:dyDescent="0.35">
      <c r="A1004" s="1" t="s">
        <v>41</v>
      </c>
      <c r="B1004" s="1" t="str">
        <f t="shared" si="39"/>
        <v>Standard Chartered Bank</v>
      </c>
      <c r="C1004">
        <v>46</v>
      </c>
      <c r="D1004">
        <v>46</v>
      </c>
      <c r="E1004">
        <v>105</v>
      </c>
      <c r="F1004" s="2">
        <v>27427.279999999999</v>
      </c>
      <c r="G1004" s="2">
        <v>23628.48</v>
      </c>
      <c r="H1004" s="2">
        <v>0</v>
      </c>
      <c r="I1004" s="2">
        <v>18604.88</v>
      </c>
      <c r="J1004" s="2">
        <v>8822.4</v>
      </c>
      <c r="K1004" s="3">
        <v>8822.4</v>
      </c>
      <c r="L1004" s="3">
        <v>0</v>
      </c>
      <c r="M1004" s="3">
        <v>3728.8</v>
      </c>
      <c r="N1004" s="4">
        <v>46143</v>
      </c>
      <c r="O1004" s="3" t="str">
        <f t="shared" si="37"/>
        <v>Online</v>
      </c>
      <c r="P1004" s="11">
        <v>8419000</v>
      </c>
      <c r="Q1004" s="3">
        <v>5150900000</v>
      </c>
      <c r="R1004" s="3">
        <v>3230700000</v>
      </c>
      <c r="S1004" s="11">
        <v>12500000</v>
      </c>
    </row>
    <row r="1005" spans="1:19" x14ac:dyDescent="0.35">
      <c r="A1005" s="1" t="s">
        <v>125</v>
      </c>
      <c r="B1005" s="1" t="str">
        <f t="shared" si="39"/>
        <v>HDFC Bank</v>
      </c>
      <c r="C1005">
        <v>6716</v>
      </c>
      <c r="D1005">
        <v>0</v>
      </c>
      <c r="E1005">
        <v>37906</v>
      </c>
      <c r="F1005" s="2">
        <v>14251669.460000001</v>
      </c>
      <c r="G1005" s="2">
        <v>4453223.8600000003</v>
      </c>
      <c r="H1005" s="2">
        <v>9662382.3100000005</v>
      </c>
      <c r="I1005" s="2">
        <v>13641416.460000001</v>
      </c>
      <c r="J1005" s="2">
        <v>610253</v>
      </c>
      <c r="K1005" s="3">
        <v>0</v>
      </c>
      <c r="L1005" s="3">
        <v>610253</v>
      </c>
      <c r="M1005" s="3">
        <v>134496.24</v>
      </c>
      <c r="N1005" s="4">
        <v>46143</v>
      </c>
      <c r="O1005" s="3" t="str">
        <f t="shared" si="37"/>
        <v>Other</v>
      </c>
      <c r="P1005" s="11">
        <v>8419000</v>
      </c>
      <c r="Q1005" s="3">
        <v>5150900000</v>
      </c>
      <c r="R1005" s="3">
        <v>3230700000</v>
      </c>
      <c r="S1005" s="11">
        <v>12500000</v>
      </c>
    </row>
    <row r="1006" spans="1:19" x14ac:dyDescent="0.35">
      <c r="A1006" s="1" t="s">
        <v>137</v>
      </c>
      <c r="B1006" s="1" t="str">
        <f t="shared" si="39"/>
        <v>Axis Bank</v>
      </c>
      <c r="C1006">
        <v>100</v>
      </c>
      <c r="D1006">
        <v>0</v>
      </c>
      <c r="E1006">
        <v>254</v>
      </c>
      <c r="F1006" s="2">
        <v>100635.99</v>
      </c>
      <c r="G1006" s="2">
        <v>87324.09</v>
      </c>
      <c r="H1006" s="2">
        <v>1620</v>
      </c>
      <c r="I1006" s="2">
        <v>77507.990000000005</v>
      </c>
      <c r="J1006" s="2">
        <v>23128</v>
      </c>
      <c r="K1006" s="3">
        <v>13876.8</v>
      </c>
      <c r="L1006" s="3">
        <v>9251.2000000000007</v>
      </c>
      <c r="M1006" s="3">
        <v>11453.9</v>
      </c>
      <c r="N1006" s="4">
        <v>46113</v>
      </c>
      <c r="O1006" s="3" t="str">
        <f t="shared" si="37"/>
        <v>Online</v>
      </c>
      <c r="P1006" s="11">
        <v>7997000</v>
      </c>
      <c r="Q1006" s="3">
        <v>5039900000</v>
      </c>
      <c r="R1006" s="3">
        <v>3186500000</v>
      </c>
      <c r="S1006" s="11">
        <v>11000000</v>
      </c>
    </row>
    <row r="1007" spans="1:19" x14ac:dyDescent="0.35">
      <c r="A1007" s="1" t="s">
        <v>91</v>
      </c>
      <c r="B1007" s="1" t="str">
        <f t="shared" si="39"/>
        <v>American Express</v>
      </c>
      <c r="C1007">
        <v>267</v>
      </c>
      <c r="D1007">
        <v>267</v>
      </c>
      <c r="E1007">
        <v>707</v>
      </c>
      <c r="F1007" s="2">
        <v>404945.91</v>
      </c>
      <c r="G1007" s="2">
        <v>404945.91</v>
      </c>
      <c r="H1007" s="2">
        <v>0</v>
      </c>
      <c r="I1007" s="2">
        <v>299485.26</v>
      </c>
      <c r="J1007" s="2">
        <v>105460.65</v>
      </c>
      <c r="K1007" s="3">
        <v>52730.34</v>
      </c>
      <c r="L1007" s="3">
        <v>52730.34</v>
      </c>
      <c r="M1007" s="3">
        <v>0</v>
      </c>
      <c r="N1007" s="4">
        <v>46113</v>
      </c>
      <c r="O1007" s="3" t="str">
        <f t="shared" si="37"/>
        <v>Offline - Box Office</v>
      </c>
      <c r="P1007" s="11">
        <v>7997000</v>
      </c>
      <c r="Q1007" s="3">
        <v>5039900000</v>
      </c>
      <c r="R1007" s="3">
        <v>3186500000</v>
      </c>
      <c r="S1007" s="11">
        <v>11000000</v>
      </c>
    </row>
    <row r="1008" spans="1:19" x14ac:dyDescent="0.35">
      <c r="A1008" s="1" t="s">
        <v>93</v>
      </c>
      <c r="B1008" s="1" t="str">
        <f t="shared" si="39"/>
        <v>American Express</v>
      </c>
      <c r="C1008">
        <v>1937</v>
      </c>
      <c r="D1008">
        <v>1937</v>
      </c>
      <c r="E1008">
        <v>4968</v>
      </c>
      <c r="F1008" s="2">
        <v>3551187.83</v>
      </c>
      <c r="G1008" s="2">
        <v>3198116.37</v>
      </c>
      <c r="H1008" s="2">
        <v>39053</v>
      </c>
      <c r="I1008" s="2">
        <v>2719262</v>
      </c>
      <c r="J1008" s="2">
        <v>831925.83</v>
      </c>
      <c r="K1008" s="3">
        <v>415963.1</v>
      </c>
      <c r="L1008" s="3">
        <v>415963.1</v>
      </c>
      <c r="M1008" s="3">
        <v>307750.46000000002</v>
      </c>
      <c r="N1008" s="4">
        <v>46113</v>
      </c>
      <c r="O1008" s="3" t="str">
        <f t="shared" si="37"/>
        <v>Online</v>
      </c>
      <c r="P1008" s="11">
        <v>7997000</v>
      </c>
      <c r="Q1008" s="3">
        <v>5039900000</v>
      </c>
      <c r="R1008" s="3">
        <v>3186500000</v>
      </c>
      <c r="S1008" s="11">
        <v>11000000</v>
      </c>
    </row>
    <row r="1009" spans="1:19" x14ac:dyDescent="0.35">
      <c r="A1009" s="1" t="s">
        <v>43</v>
      </c>
      <c r="B1009" s="1" t="str">
        <f t="shared" si="39"/>
        <v>Axis Bank</v>
      </c>
      <c r="C1009">
        <v>22</v>
      </c>
      <c r="D1009">
        <v>22</v>
      </c>
      <c r="E1009">
        <v>58</v>
      </c>
      <c r="F1009" s="2">
        <v>25978.74</v>
      </c>
      <c r="G1009" s="2">
        <v>25978.74</v>
      </c>
      <c r="H1009" s="2">
        <v>0</v>
      </c>
      <c r="I1009" s="2">
        <v>21721.34</v>
      </c>
      <c r="J1009" s="2">
        <v>4257.3999999999996</v>
      </c>
      <c r="K1009" s="3">
        <v>3746.5</v>
      </c>
      <c r="L1009" s="3">
        <v>510.9</v>
      </c>
      <c r="M1009" s="3">
        <v>0</v>
      </c>
      <c r="N1009" s="4">
        <v>46113</v>
      </c>
      <c r="O1009" s="3" t="str">
        <f t="shared" si="37"/>
        <v>Offline - Box Office</v>
      </c>
      <c r="P1009" s="11">
        <v>7997000</v>
      </c>
      <c r="Q1009" s="3">
        <v>5039900000</v>
      </c>
      <c r="R1009" s="3">
        <v>3186500000</v>
      </c>
      <c r="S1009" s="11">
        <v>11000000</v>
      </c>
    </row>
    <row r="1010" spans="1:19" x14ac:dyDescent="0.35">
      <c r="A1010" s="1" t="s">
        <v>23</v>
      </c>
      <c r="B1010" s="1" t="str">
        <f t="shared" si="39"/>
        <v>Axis Bank</v>
      </c>
      <c r="C1010">
        <v>34</v>
      </c>
      <c r="D1010">
        <v>34</v>
      </c>
      <c r="E1010">
        <v>79</v>
      </c>
      <c r="F1010" s="2">
        <v>29258.720000000001</v>
      </c>
      <c r="G1010" s="2">
        <v>25656.6</v>
      </c>
      <c r="H1010" s="2">
        <v>0</v>
      </c>
      <c r="I1010" s="2">
        <v>22676.720000000001</v>
      </c>
      <c r="J1010" s="2">
        <v>6582</v>
      </c>
      <c r="K1010" s="3">
        <v>5594.7</v>
      </c>
      <c r="L1010" s="3">
        <v>987.3</v>
      </c>
      <c r="M1010" s="3">
        <v>3542.12</v>
      </c>
      <c r="N1010" s="4">
        <v>46113</v>
      </c>
      <c r="O1010" s="3" t="str">
        <f t="shared" si="37"/>
        <v>Online</v>
      </c>
      <c r="P1010" s="11">
        <v>7997000</v>
      </c>
      <c r="Q1010" s="3">
        <v>5039900000</v>
      </c>
      <c r="R1010" s="3">
        <v>3186500000</v>
      </c>
      <c r="S1010" s="11">
        <v>11000000</v>
      </c>
    </row>
    <row r="1011" spans="1:19" x14ac:dyDescent="0.35">
      <c r="A1011" s="1" t="s">
        <v>44</v>
      </c>
      <c r="B1011" s="1" t="str">
        <f t="shared" si="39"/>
        <v>Axis Bank</v>
      </c>
      <c r="C1011">
        <v>279</v>
      </c>
      <c r="D1011">
        <v>279</v>
      </c>
      <c r="E1011">
        <v>693</v>
      </c>
      <c r="F1011" s="2">
        <v>182695.73</v>
      </c>
      <c r="G1011" s="2">
        <v>182695.73</v>
      </c>
      <c r="H1011" s="2">
        <v>0</v>
      </c>
      <c r="I1011" s="2">
        <v>129298.33</v>
      </c>
      <c r="J1011" s="2">
        <v>53397.4</v>
      </c>
      <c r="K1011" s="3">
        <v>46989.599999999999</v>
      </c>
      <c r="L1011" s="3">
        <v>6407.8</v>
      </c>
      <c r="M1011" s="3">
        <v>0</v>
      </c>
      <c r="N1011" s="4">
        <v>46113</v>
      </c>
      <c r="O1011" s="3" t="str">
        <f t="shared" si="37"/>
        <v>Offline - Box Office</v>
      </c>
      <c r="P1011" s="11">
        <v>7997000</v>
      </c>
      <c r="Q1011" s="3">
        <v>5039900000</v>
      </c>
      <c r="R1011" s="3">
        <v>3186500000</v>
      </c>
      <c r="S1011" s="11">
        <v>11000000</v>
      </c>
    </row>
    <row r="1012" spans="1:19" x14ac:dyDescent="0.35">
      <c r="A1012" s="1" t="s">
        <v>24</v>
      </c>
      <c r="B1012" s="1" t="str">
        <f t="shared" si="39"/>
        <v>Axis Bank</v>
      </c>
      <c r="C1012">
        <v>1423</v>
      </c>
      <c r="D1012">
        <v>1423</v>
      </c>
      <c r="E1012">
        <v>3317</v>
      </c>
      <c r="F1012" s="2">
        <v>1038435.79</v>
      </c>
      <c r="G1012" s="2">
        <v>898794.83</v>
      </c>
      <c r="H1012" s="2">
        <v>3141</v>
      </c>
      <c r="I1012" s="2">
        <v>764401.54</v>
      </c>
      <c r="J1012" s="2">
        <v>274034.25</v>
      </c>
      <c r="K1012" s="3">
        <v>232929.11</v>
      </c>
      <c r="L1012" s="3">
        <v>41105.14</v>
      </c>
      <c r="M1012" s="3">
        <v>133905.96</v>
      </c>
      <c r="N1012" s="4">
        <v>46113</v>
      </c>
      <c r="O1012" s="3" t="str">
        <f t="shared" si="37"/>
        <v>Online</v>
      </c>
      <c r="P1012" s="11">
        <v>7997000</v>
      </c>
      <c r="Q1012" s="3">
        <v>5039900000</v>
      </c>
      <c r="R1012" s="3">
        <v>3186500000</v>
      </c>
      <c r="S1012" s="11">
        <v>11000000</v>
      </c>
    </row>
    <row r="1013" spans="1:19" x14ac:dyDescent="0.35">
      <c r="A1013" s="1" t="s">
        <v>150</v>
      </c>
      <c r="B1013" s="1" t="str">
        <f t="shared" si="39"/>
        <v>Kotak Mahindra Bank</v>
      </c>
      <c r="C1013">
        <v>26</v>
      </c>
      <c r="D1013">
        <v>26</v>
      </c>
      <c r="E1013">
        <v>79</v>
      </c>
      <c r="F1013" s="2">
        <v>25420.46</v>
      </c>
      <c r="G1013" s="2">
        <v>21625.14</v>
      </c>
      <c r="H1013" s="2">
        <v>620</v>
      </c>
      <c r="I1013" s="2">
        <v>19617.88</v>
      </c>
      <c r="J1013" s="2">
        <v>5802.58</v>
      </c>
      <c r="K1013" s="3">
        <v>5802.58</v>
      </c>
      <c r="L1013" s="3">
        <v>0</v>
      </c>
      <c r="M1013" s="3">
        <v>3079.32</v>
      </c>
      <c r="N1013" s="4">
        <v>46113</v>
      </c>
      <c r="O1013" s="3" t="str">
        <f t="shared" si="37"/>
        <v>Online</v>
      </c>
      <c r="P1013" s="11">
        <v>7997000</v>
      </c>
      <c r="Q1013" s="3">
        <v>5039900000</v>
      </c>
      <c r="R1013" s="3">
        <v>3186500000</v>
      </c>
      <c r="S1013" s="11">
        <v>11000000</v>
      </c>
    </row>
    <row r="1014" spans="1:19" x14ac:dyDescent="0.35">
      <c r="A1014" s="1" t="s">
        <v>27</v>
      </c>
      <c r="B1014" s="1" t="str">
        <f t="shared" si="39"/>
        <v>Federal Bank</v>
      </c>
      <c r="C1014">
        <v>65</v>
      </c>
      <c r="D1014">
        <v>65</v>
      </c>
      <c r="E1014">
        <v>185</v>
      </c>
      <c r="F1014" s="2">
        <v>46505.08</v>
      </c>
      <c r="G1014" s="2">
        <v>46505.08</v>
      </c>
      <c r="H1014" s="2">
        <v>0</v>
      </c>
      <c r="I1014" s="2">
        <v>40005.08</v>
      </c>
      <c r="J1014" s="2">
        <v>6500</v>
      </c>
      <c r="K1014" s="3">
        <v>6500</v>
      </c>
      <c r="L1014" s="3">
        <v>0</v>
      </c>
      <c r="M1014" s="3">
        <v>0</v>
      </c>
      <c r="N1014" s="4">
        <v>46113</v>
      </c>
      <c r="O1014" s="3" t="str">
        <f t="shared" si="37"/>
        <v>Offline - Box Office</v>
      </c>
      <c r="P1014" s="11">
        <v>7997000</v>
      </c>
      <c r="Q1014" s="3">
        <v>5039900000</v>
      </c>
      <c r="R1014" s="3">
        <v>3186500000</v>
      </c>
      <c r="S1014" s="11">
        <v>11000000</v>
      </c>
    </row>
    <row r="1015" spans="1:19" x14ac:dyDescent="0.35">
      <c r="A1015" s="1" t="s">
        <v>28</v>
      </c>
      <c r="B1015" s="1" t="str">
        <f t="shared" si="39"/>
        <v>Federal Bank</v>
      </c>
      <c r="C1015">
        <v>182</v>
      </c>
      <c r="D1015">
        <v>182</v>
      </c>
      <c r="E1015">
        <v>493</v>
      </c>
      <c r="F1015" s="2">
        <v>171981.68</v>
      </c>
      <c r="G1015" s="2">
        <v>147044.1</v>
      </c>
      <c r="H1015" s="2">
        <v>1798</v>
      </c>
      <c r="I1015" s="2">
        <v>153805.68</v>
      </c>
      <c r="J1015" s="2">
        <v>18176</v>
      </c>
      <c r="K1015" s="3">
        <v>18176</v>
      </c>
      <c r="L1015" s="3">
        <v>0</v>
      </c>
      <c r="M1015" s="3">
        <v>22671.58</v>
      </c>
      <c r="N1015" s="4">
        <v>46113</v>
      </c>
      <c r="O1015" s="3" t="str">
        <f t="shared" si="37"/>
        <v>Online</v>
      </c>
      <c r="P1015" s="11">
        <v>7997000</v>
      </c>
      <c r="Q1015" s="3">
        <v>5039900000</v>
      </c>
      <c r="R1015" s="3">
        <v>3186500000</v>
      </c>
      <c r="S1015" s="11">
        <v>11000000</v>
      </c>
    </row>
    <row r="1016" spans="1:19" x14ac:dyDescent="0.35">
      <c r="A1016" s="1" t="s">
        <v>29</v>
      </c>
      <c r="B1016" s="1" t="str">
        <f t="shared" si="39"/>
        <v>Federal Bank</v>
      </c>
      <c r="C1016">
        <v>324</v>
      </c>
      <c r="D1016">
        <v>324</v>
      </c>
      <c r="E1016">
        <v>921</v>
      </c>
      <c r="F1016" s="2">
        <v>244960.5</v>
      </c>
      <c r="G1016" s="2">
        <v>244960.5</v>
      </c>
      <c r="H1016" s="2">
        <v>0</v>
      </c>
      <c r="I1016" s="2">
        <v>212608.5</v>
      </c>
      <c r="J1016" s="2">
        <v>32352</v>
      </c>
      <c r="K1016" s="3">
        <v>32352</v>
      </c>
      <c r="L1016" s="3">
        <v>0</v>
      </c>
      <c r="M1016" s="3">
        <v>0</v>
      </c>
      <c r="N1016" s="4">
        <v>46113</v>
      </c>
      <c r="O1016" s="3" t="str">
        <f t="shared" si="37"/>
        <v>Offline - Box Office</v>
      </c>
      <c r="P1016" s="11">
        <v>7997000</v>
      </c>
      <c r="Q1016" s="3">
        <v>5039900000</v>
      </c>
      <c r="R1016" s="3">
        <v>3186500000</v>
      </c>
      <c r="S1016" s="11">
        <v>11000000</v>
      </c>
    </row>
    <row r="1017" spans="1:19" x14ac:dyDescent="0.35">
      <c r="A1017" s="1" t="s">
        <v>30</v>
      </c>
      <c r="B1017" s="1" t="str">
        <f t="shared" si="39"/>
        <v>Federal Bank</v>
      </c>
      <c r="C1017">
        <v>378</v>
      </c>
      <c r="D1017">
        <v>378</v>
      </c>
      <c r="E1017">
        <v>937</v>
      </c>
      <c r="F1017" s="2">
        <v>290999.94</v>
      </c>
      <c r="G1017" s="2">
        <v>246693.14</v>
      </c>
      <c r="H1017" s="2">
        <v>3715</v>
      </c>
      <c r="I1017" s="2">
        <v>253399.7</v>
      </c>
      <c r="J1017" s="2">
        <v>37600.239999999998</v>
      </c>
      <c r="K1017" s="3">
        <v>37600.239999999998</v>
      </c>
      <c r="L1017" s="3">
        <v>0</v>
      </c>
      <c r="M1017" s="3">
        <v>39895.800000000003</v>
      </c>
      <c r="N1017" s="4">
        <v>46113</v>
      </c>
      <c r="O1017" s="3" t="str">
        <f t="shared" si="37"/>
        <v>Online</v>
      </c>
      <c r="P1017" s="11">
        <v>7997000</v>
      </c>
      <c r="Q1017" s="3">
        <v>5039900000</v>
      </c>
      <c r="R1017" s="3">
        <v>3186500000</v>
      </c>
      <c r="S1017" s="11">
        <v>11000000</v>
      </c>
    </row>
    <row r="1018" spans="1:19" x14ac:dyDescent="0.35">
      <c r="A1018" s="1" t="s">
        <v>151</v>
      </c>
      <c r="B1018" s="1" t="str">
        <f t="shared" si="39"/>
        <v>AU Bank</v>
      </c>
      <c r="C1018">
        <v>204</v>
      </c>
      <c r="D1018">
        <v>204</v>
      </c>
      <c r="E1018">
        <v>613</v>
      </c>
      <c r="F1018" s="2">
        <v>180893.34</v>
      </c>
      <c r="G1018" s="2">
        <v>180893.34</v>
      </c>
      <c r="H1018" s="2">
        <v>0</v>
      </c>
      <c r="I1018" s="2">
        <v>155459.34</v>
      </c>
      <c r="J1018" s="2">
        <v>25434</v>
      </c>
      <c r="K1018" s="3">
        <v>17803.8</v>
      </c>
      <c r="L1018" s="3">
        <v>7630.2</v>
      </c>
      <c r="M1018" s="3">
        <v>0</v>
      </c>
      <c r="N1018" s="4">
        <v>46113</v>
      </c>
      <c r="O1018" s="3" t="str">
        <f t="shared" si="37"/>
        <v>Offline - Box Office</v>
      </c>
      <c r="P1018" s="11">
        <v>7997000</v>
      </c>
      <c r="Q1018" s="3">
        <v>5039900000</v>
      </c>
      <c r="R1018" s="3">
        <v>3186500000</v>
      </c>
      <c r="S1018" s="11">
        <v>11000000</v>
      </c>
    </row>
    <row r="1019" spans="1:19" x14ac:dyDescent="0.35">
      <c r="A1019" s="1" t="s">
        <v>152</v>
      </c>
      <c r="B1019" s="1" t="str">
        <f t="shared" si="39"/>
        <v>AU Bank</v>
      </c>
      <c r="C1019">
        <v>236</v>
      </c>
      <c r="D1019">
        <v>236</v>
      </c>
      <c r="E1019">
        <v>625</v>
      </c>
      <c r="F1019" s="2">
        <v>226976.06</v>
      </c>
      <c r="G1019" s="2">
        <v>194689.44</v>
      </c>
      <c r="H1019" s="2">
        <v>3675</v>
      </c>
      <c r="I1019" s="2">
        <v>197509.06</v>
      </c>
      <c r="J1019" s="2">
        <v>29467</v>
      </c>
      <c r="K1019" s="3">
        <v>20626.900000000001</v>
      </c>
      <c r="L1019" s="3">
        <v>8840.1</v>
      </c>
      <c r="M1019" s="3">
        <v>28041.62</v>
      </c>
      <c r="N1019" s="4">
        <v>46113</v>
      </c>
      <c r="O1019" s="3" t="str">
        <f t="shared" si="37"/>
        <v>Online</v>
      </c>
      <c r="P1019" s="11">
        <v>7997000</v>
      </c>
      <c r="Q1019" s="3">
        <v>5039900000</v>
      </c>
      <c r="R1019" s="3">
        <v>3186500000</v>
      </c>
      <c r="S1019" s="11">
        <v>11000000</v>
      </c>
    </row>
    <row r="1020" spans="1:19" x14ac:dyDescent="0.35">
      <c r="A1020" s="1" t="s">
        <v>133</v>
      </c>
      <c r="B1020" s="1" t="str">
        <f t="shared" si="39"/>
        <v>HDFC Bank</v>
      </c>
      <c r="C1020">
        <v>86</v>
      </c>
      <c r="D1020">
        <v>0</v>
      </c>
      <c r="E1020">
        <v>100</v>
      </c>
      <c r="F1020" s="2">
        <v>68580</v>
      </c>
      <c r="G1020" s="2">
        <v>0</v>
      </c>
      <c r="H1020" s="2">
        <v>68580</v>
      </c>
      <c r="I1020" s="2">
        <v>59980</v>
      </c>
      <c r="J1020" s="2">
        <v>8600</v>
      </c>
      <c r="K1020" s="3">
        <v>8600</v>
      </c>
      <c r="L1020" s="3">
        <v>0</v>
      </c>
      <c r="M1020" s="3">
        <v>0</v>
      </c>
      <c r="N1020" s="4">
        <v>46113</v>
      </c>
      <c r="O1020" s="3" t="str">
        <f t="shared" si="37"/>
        <v>Offline - F&amp;B</v>
      </c>
      <c r="P1020" s="11">
        <v>7997000</v>
      </c>
      <c r="Q1020" s="3">
        <v>5039900000</v>
      </c>
      <c r="R1020" s="3">
        <v>3186500000</v>
      </c>
      <c r="S1020" s="11">
        <v>11000000</v>
      </c>
    </row>
    <row r="1021" spans="1:19" x14ac:dyDescent="0.35">
      <c r="A1021" s="1" t="s">
        <v>32</v>
      </c>
      <c r="B1021" s="1" t="str">
        <f t="shared" si="39"/>
        <v>ICICI Bank</v>
      </c>
      <c r="C1021">
        <v>2712</v>
      </c>
      <c r="D1021">
        <v>0</v>
      </c>
      <c r="E1021">
        <v>7315</v>
      </c>
      <c r="F1021" s="2">
        <v>1887665.69</v>
      </c>
      <c r="G1021" s="2">
        <v>1887665.69</v>
      </c>
      <c r="H1021" s="2">
        <v>0</v>
      </c>
      <c r="I1021" s="2">
        <v>1607027.69</v>
      </c>
      <c r="J1021" s="2">
        <v>280638</v>
      </c>
      <c r="K1021" s="3">
        <v>246961.44</v>
      </c>
      <c r="L1021" s="3">
        <v>33676.559999999998</v>
      </c>
      <c r="M1021" s="3">
        <v>0</v>
      </c>
      <c r="N1021" s="4">
        <v>46113</v>
      </c>
      <c r="O1021" s="3" t="str">
        <f t="shared" si="37"/>
        <v>Offline - Box Office</v>
      </c>
      <c r="P1021" s="11">
        <v>7997000</v>
      </c>
      <c r="Q1021" s="3">
        <v>5039900000</v>
      </c>
      <c r="R1021" s="3">
        <v>3186500000</v>
      </c>
      <c r="S1021" s="11">
        <v>11000000</v>
      </c>
    </row>
    <row r="1022" spans="1:19" x14ac:dyDescent="0.35">
      <c r="A1022" s="1" t="s">
        <v>33</v>
      </c>
      <c r="B1022" s="1" t="str">
        <f t="shared" si="39"/>
        <v>ICICI Bank</v>
      </c>
      <c r="C1022">
        <v>1101</v>
      </c>
      <c r="D1022">
        <v>0</v>
      </c>
      <c r="E1022">
        <v>2793</v>
      </c>
      <c r="F1022" s="2">
        <v>970209.22</v>
      </c>
      <c r="G1022" s="2">
        <v>830724.54</v>
      </c>
      <c r="H1022" s="2">
        <v>16715</v>
      </c>
      <c r="I1022" s="2">
        <v>852149.22</v>
      </c>
      <c r="J1022" s="2">
        <v>118060</v>
      </c>
      <c r="K1022" s="3">
        <v>100351</v>
      </c>
      <c r="L1022" s="3">
        <v>17709</v>
      </c>
      <c r="M1022" s="3">
        <v>120389.68</v>
      </c>
      <c r="N1022" s="4">
        <v>46113</v>
      </c>
      <c r="O1022" s="3" t="str">
        <f t="shared" si="37"/>
        <v>Online</v>
      </c>
      <c r="P1022" s="11">
        <v>7997000</v>
      </c>
      <c r="Q1022" s="3">
        <v>5039900000</v>
      </c>
      <c r="R1022" s="3">
        <v>3186500000</v>
      </c>
      <c r="S1022" s="11">
        <v>11000000</v>
      </c>
    </row>
    <row r="1023" spans="1:19" x14ac:dyDescent="0.35">
      <c r="A1023" s="1" t="s">
        <v>34</v>
      </c>
      <c r="B1023" s="1" t="str">
        <f t="shared" si="39"/>
        <v>ICICI Bank</v>
      </c>
      <c r="C1023">
        <v>307</v>
      </c>
      <c r="D1023">
        <v>0</v>
      </c>
      <c r="E1023">
        <v>792</v>
      </c>
      <c r="F1023" s="2">
        <v>215254.9</v>
      </c>
      <c r="G1023" s="2">
        <v>215254.9</v>
      </c>
      <c r="H1023" s="2">
        <v>0</v>
      </c>
      <c r="I1023" s="2">
        <v>198718.9</v>
      </c>
      <c r="J1023" s="2">
        <v>16536</v>
      </c>
      <c r="K1023" s="3">
        <v>14551.68</v>
      </c>
      <c r="L1023" s="3">
        <v>1984.32</v>
      </c>
      <c r="M1023" s="3">
        <v>0</v>
      </c>
      <c r="N1023" s="4">
        <v>46113</v>
      </c>
      <c r="O1023" s="3" t="str">
        <f t="shared" si="37"/>
        <v>Offline - Box Office</v>
      </c>
      <c r="P1023" s="11">
        <v>7997000</v>
      </c>
      <c r="Q1023" s="3">
        <v>5039900000</v>
      </c>
      <c r="R1023" s="3">
        <v>3186500000</v>
      </c>
      <c r="S1023" s="11">
        <v>11000000</v>
      </c>
    </row>
    <row r="1024" spans="1:19" x14ac:dyDescent="0.35">
      <c r="A1024" s="1" t="s">
        <v>35</v>
      </c>
      <c r="B1024" s="1" t="str">
        <f t="shared" si="39"/>
        <v>ICICI Bank</v>
      </c>
      <c r="C1024">
        <v>76</v>
      </c>
      <c r="D1024">
        <v>0</v>
      </c>
      <c r="E1024">
        <v>208</v>
      </c>
      <c r="F1024" s="2">
        <v>88573.86</v>
      </c>
      <c r="G1024" s="2">
        <v>74513.820000000007</v>
      </c>
      <c r="H1024" s="2">
        <v>4498</v>
      </c>
      <c r="I1024" s="2">
        <v>84172.86</v>
      </c>
      <c r="J1024" s="2">
        <v>4401</v>
      </c>
      <c r="K1024" s="3">
        <v>3740.85</v>
      </c>
      <c r="L1024" s="3">
        <v>660.15</v>
      </c>
      <c r="M1024" s="3">
        <v>9338.0400000000009</v>
      </c>
      <c r="N1024" s="4">
        <v>46113</v>
      </c>
      <c r="O1024" s="3" t="str">
        <f t="shared" si="37"/>
        <v>Online</v>
      </c>
      <c r="P1024" s="11">
        <v>7997000</v>
      </c>
      <c r="Q1024" s="3">
        <v>5039900000</v>
      </c>
      <c r="R1024" s="3">
        <v>3186500000</v>
      </c>
      <c r="S1024" s="11">
        <v>11000000</v>
      </c>
    </row>
    <row r="1025" spans="1:19" x14ac:dyDescent="0.35">
      <c r="A1025" s="1" t="s">
        <v>48</v>
      </c>
      <c r="B1025" s="1" t="str">
        <f t="shared" si="39"/>
        <v>IDBI Bank</v>
      </c>
      <c r="C1025">
        <v>261</v>
      </c>
      <c r="D1025">
        <v>0</v>
      </c>
      <c r="E1025">
        <v>612</v>
      </c>
      <c r="F1025" s="2">
        <v>176315.1</v>
      </c>
      <c r="G1025" s="2">
        <v>176315.1</v>
      </c>
      <c r="H1025" s="2">
        <v>0</v>
      </c>
      <c r="I1025" s="2">
        <v>145520.1</v>
      </c>
      <c r="J1025" s="2">
        <v>30795</v>
      </c>
      <c r="K1025" s="3">
        <v>30795</v>
      </c>
      <c r="L1025" s="3">
        <v>0</v>
      </c>
      <c r="M1025" s="3">
        <v>0</v>
      </c>
      <c r="N1025" s="4">
        <v>46113</v>
      </c>
      <c r="O1025" s="3" t="str">
        <f t="shared" si="37"/>
        <v>Offline - Box Office</v>
      </c>
      <c r="P1025" s="11">
        <v>7997000</v>
      </c>
      <c r="Q1025" s="3">
        <v>5039900000</v>
      </c>
      <c r="R1025" s="3">
        <v>3186500000</v>
      </c>
      <c r="S1025" s="11">
        <v>11000000</v>
      </c>
    </row>
    <row r="1026" spans="1:19" x14ac:dyDescent="0.35">
      <c r="A1026" s="1" t="s">
        <v>37</v>
      </c>
      <c r="B1026" s="1" t="str">
        <f t="shared" si="39"/>
        <v>IDBI Bank</v>
      </c>
      <c r="C1026">
        <v>415</v>
      </c>
      <c r="D1026">
        <v>0</v>
      </c>
      <c r="E1026">
        <v>895</v>
      </c>
      <c r="F1026" s="2">
        <v>328992.62</v>
      </c>
      <c r="G1026" s="2">
        <v>280243.82</v>
      </c>
      <c r="H1026" s="2">
        <v>11313</v>
      </c>
      <c r="I1026" s="2">
        <v>277411.62</v>
      </c>
      <c r="J1026" s="2">
        <v>51581</v>
      </c>
      <c r="K1026" s="3">
        <v>51581</v>
      </c>
      <c r="L1026" s="3">
        <v>0</v>
      </c>
      <c r="M1026" s="3">
        <v>36681.800000000003</v>
      </c>
      <c r="N1026" s="4">
        <v>46113</v>
      </c>
      <c r="O1026" s="3" t="str">
        <f t="shared" ref="O1026:O1089" si="40">IF(ISNUMBER(SEARCH("Box Office",A1026)),"Offline - Box Office",
IF(ISNUMBER(SEARCH("Digital Platforms",A1026)),"Online",
IF(ISNUMBER(SEARCH("Refuel",A1026)),"Offline - F&amp;B",
IF(ISNUMBER(SEARCH("Food &amp; Beverages",A1026)),"Offline - F&amp;B",
IF(ISNUMBER(SEARCH("F&amp;B",A1026)),"Offline - F&amp;B",
IF(ISNUMBER(SEARCH("Kiosk",A1026)),"Offline - Box Office",
IF(ISNUMBER(SEARCH("Cinema",A1026)),"Offline - Box Office",
"Other")))))))</f>
        <v>Online</v>
      </c>
      <c r="P1026" s="11">
        <v>7997000</v>
      </c>
      <c r="Q1026" s="3">
        <v>5039900000</v>
      </c>
      <c r="R1026" s="3">
        <v>3186500000</v>
      </c>
      <c r="S1026" s="11">
        <v>11000000</v>
      </c>
    </row>
    <row r="1027" spans="1:19" x14ac:dyDescent="0.35">
      <c r="A1027" s="1" t="s">
        <v>49</v>
      </c>
      <c r="B1027" s="1" t="str">
        <f t="shared" si="39"/>
        <v>IDBI Bank</v>
      </c>
      <c r="C1027">
        <v>476</v>
      </c>
      <c r="D1027">
        <v>0</v>
      </c>
      <c r="E1027">
        <v>1102</v>
      </c>
      <c r="F1027" s="2">
        <v>343002.76</v>
      </c>
      <c r="G1027" s="2">
        <v>0</v>
      </c>
      <c r="H1027" s="2">
        <v>343002.76</v>
      </c>
      <c r="I1027" s="2">
        <v>285474.76</v>
      </c>
      <c r="J1027" s="2">
        <v>57528</v>
      </c>
      <c r="K1027" s="3">
        <v>40269.599999999999</v>
      </c>
      <c r="L1027" s="3">
        <v>17258.400000000001</v>
      </c>
      <c r="M1027" s="3">
        <v>0</v>
      </c>
      <c r="N1027" s="4">
        <v>46113</v>
      </c>
      <c r="O1027" s="3" t="str">
        <f t="shared" si="40"/>
        <v>Offline - F&amp;B</v>
      </c>
      <c r="P1027" s="11">
        <v>7997000</v>
      </c>
      <c r="Q1027" s="3">
        <v>5039900000</v>
      </c>
      <c r="R1027" s="3">
        <v>3186500000</v>
      </c>
      <c r="S1027" s="11">
        <v>11000000</v>
      </c>
    </row>
    <row r="1028" spans="1:19" x14ac:dyDescent="0.35">
      <c r="A1028" s="1" t="s">
        <v>52</v>
      </c>
      <c r="B1028" s="1" t="str">
        <f t="shared" si="39"/>
        <v>Kotak Mahindra Bank</v>
      </c>
      <c r="C1028">
        <v>36</v>
      </c>
      <c r="D1028">
        <v>36</v>
      </c>
      <c r="E1028">
        <v>79</v>
      </c>
      <c r="F1028" s="2">
        <v>89683.14</v>
      </c>
      <c r="G1028" s="2">
        <v>81130</v>
      </c>
      <c r="H1028" s="2">
        <v>2507</v>
      </c>
      <c r="I1028" s="2">
        <v>63013.14</v>
      </c>
      <c r="J1028" s="2">
        <v>26670</v>
      </c>
      <c r="K1028" s="3">
        <v>26670</v>
      </c>
      <c r="L1028" s="3">
        <v>0</v>
      </c>
      <c r="M1028" s="3">
        <v>5944.14</v>
      </c>
      <c r="N1028" s="4">
        <v>46113</v>
      </c>
      <c r="O1028" s="3" t="str">
        <f t="shared" si="40"/>
        <v>Online</v>
      </c>
      <c r="P1028" s="11">
        <v>7997000</v>
      </c>
      <c r="Q1028" s="3">
        <v>5039900000</v>
      </c>
      <c r="R1028" s="3">
        <v>3186500000</v>
      </c>
      <c r="S1028" s="11">
        <v>11000000</v>
      </c>
    </row>
    <row r="1029" spans="1:19" x14ac:dyDescent="0.35">
      <c r="A1029" s="1" t="s">
        <v>134</v>
      </c>
      <c r="B1029" s="1" t="str">
        <f t="shared" si="39"/>
        <v>Kotak Mahindra Bank</v>
      </c>
      <c r="C1029">
        <v>274</v>
      </c>
      <c r="D1029">
        <v>274</v>
      </c>
      <c r="E1029">
        <v>640</v>
      </c>
      <c r="F1029" s="2">
        <v>196305.68</v>
      </c>
      <c r="G1029" s="2">
        <v>168188.24</v>
      </c>
      <c r="H1029" s="2">
        <v>2553</v>
      </c>
      <c r="I1029" s="2">
        <v>134637.5</v>
      </c>
      <c r="J1029" s="2">
        <v>61668.18</v>
      </c>
      <c r="K1029" s="3">
        <v>61668.18</v>
      </c>
      <c r="L1029" s="3">
        <v>0</v>
      </c>
      <c r="M1029" s="3">
        <v>24856.44</v>
      </c>
      <c r="N1029" s="4">
        <v>46113</v>
      </c>
      <c r="O1029" s="3" t="str">
        <f t="shared" si="40"/>
        <v>Online</v>
      </c>
      <c r="P1029" s="11">
        <v>7997000</v>
      </c>
      <c r="Q1029" s="3">
        <v>5039900000</v>
      </c>
      <c r="R1029" s="3">
        <v>3186500000</v>
      </c>
      <c r="S1029" s="11">
        <v>11000000</v>
      </c>
    </row>
    <row r="1030" spans="1:19" x14ac:dyDescent="0.35">
      <c r="A1030" s="1" t="s">
        <v>153</v>
      </c>
      <c r="B1030" s="1" t="str">
        <f t="shared" si="39"/>
        <v>Kotak Mahindra Bank</v>
      </c>
      <c r="C1030">
        <v>72</v>
      </c>
      <c r="D1030">
        <v>72</v>
      </c>
      <c r="E1030">
        <v>153</v>
      </c>
      <c r="F1030" s="2">
        <v>117613.48</v>
      </c>
      <c r="G1030" s="2">
        <v>104407</v>
      </c>
      <c r="H1030" s="2">
        <v>2537</v>
      </c>
      <c r="I1030" s="2">
        <v>73164.479999999996</v>
      </c>
      <c r="J1030" s="2">
        <v>44449</v>
      </c>
      <c r="K1030" s="3">
        <v>44449</v>
      </c>
      <c r="L1030" s="3">
        <v>0</v>
      </c>
      <c r="M1030" s="3">
        <v>10491.48</v>
      </c>
      <c r="N1030" s="4">
        <v>46113</v>
      </c>
      <c r="O1030" s="3" t="str">
        <f t="shared" si="40"/>
        <v>Online</v>
      </c>
      <c r="P1030" s="11">
        <v>7997000</v>
      </c>
      <c r="Q1030" s="3">
        <v>5039900000</v>
      </c>
      <c r="R1030" s="3">
        <v>3186500000</v>
      </c>
      <c r="S1030" s="11">
        <v>11000000</v>
      </c>
    </row>
    <row r="1031" spans="1:19" x14ac:dyDescent="0.35">
      <c r="A1031" s="1" t="s">
        <v>154</v>
      </c>
      <c r="B1031" s="1" t="str">
        <f t="shared" si="39"/>
        <v>Kotak Mahindra Bank</v>
      </c>
      <c r="C1031">
        <v>18536</v>
      </c>
      <c r="D1031">
        <v>0</v>
      </c>
      <c r="E1031">
        <v>43710</v>
      </c>
      <c r="F1031" s="2">
        <v>12774175.189999999</v>
      </c>
      <c r="G1031" s="2">
        <v>709512.15</v>
      </c>
      <c r="H1031" s="2">
        <v>12055356.560000001</v>
      </c>
      <c r="I1031" s="2">
        <v>10233351.189999999</v>
      </c>
      <c r="J1031" s="2">
        <v>2540824</v>
      </c>
      <c r="K1031" s="3">
        <v>0</v>
      </c>
      <c r="L1031" s="3">
        <v>2540824</v>
      </c>
      <c r="M1031" s="3">
        <v>9088.48</v>
      </c>
      <c r="N1031" s="4">
        <v>46113</v>
      </c>
      <c r="O1031" s="3" t="str">
        <f t="shared" si="40"/>
        <v>Offline - F&amp;B</v>
      </c>
      <c r="P1031" s="11">
        <v>7997000</v>
      </c>
      <c r="Q1031" s="3">
        <v>5039900000</v>
      </c>
      <c r="R1031" s="3">
        <v>3186500000</v>
      </c>
      <c r="S1031" s="11">
        <v>11000000</v>
      </c>
    </row>
    <row r="1032" spans="1:19" x14ac:dyDescent="0.35">
      <c r="A1032" s="1" t="s">
        <v>58</v>
      </c>
      <c r="B1032" s="1" t="str">
        <f t="shared" si="39"/>
        <v>Kotak Mahindra Bank</v>
      </c>
      <c r="C1032">
        <v>2530</v>
      </c>
      <c r="D1032">
        <v>0</v>
      </c>
      <c r="E1032">
        <v>5754</v>
      </c>
      <c r="F1032" s="2">
        <v>1933311.45</v>
      </c>
      <c r="G1032" s="2">
        <v>1791042.45</v>
      </c>
      <c r="H1032" s="2">
        <v>3583</v>
      </c>
      <c r="I1032" s="2">
        <v>1882861.58</v>
      </c>
      <c r="J1032" s="2">
        <v>50450</v>
      </c>
      <c r="K1032" s="3">
        <v>0</v>
      </c>
      <c r="L1032" s="3">
        <v>50450</v>
      </c>
      <c r="M1032" s="3">
        <v>136610</v>
      </c>
      <c r="N1032" s="4">
        <v>46113</v>
      </c>
      <c r="O1032" s="3" t="str">
        <f t="shared" si="40"/>
        <v>Other</v>
      </c>
      <c r="P1032" s="11">
        <v>7997000</v>
      </c>
      <c r="Q1032" s="3">
        <v>5039900000</v>
      </c>
      <c r="R1032" s="3">
        <v>3186500000</v>
      </c>
      <c r="S1032" s="11">
        <v>11000000</v>
      </c>
    </row>
    <row r="1033" spans="1:19" x14ac:dyDescent="0.35">
      <c r="A1033" s="1" t="s">
        <v>135</v>
      </c>
      <c r="B1033" s="1" t="str">
        <f t="shared" ref="B1033:B1096" si="41">IF(ISNUMBER(SEARCH("AXIS",A1033)),"Axis Bank",
IF(OR(ISNUMBER(SEARCH("ONE CREDIT",A1033)),ISNUMBER(SEARCH("ONECARD",A1033))),"OneCard",
IF(OR(ISNUMBER(SEARCH("PNB",A1033)),ISNUMBER(SEARCH("PUNJAB NATIONAL",A1033))),"Punjab National Bank",
IF(ISNUMBER(SEARCH("HDFC",A1033)),"HDFC Bank",
IF(ISNUMBER(SEARCH("ICICI",A1033)),"ICICI Bank",
IF(ISNUMBER(SEARCH("AU",A1033)),"AU Bank",
IF(ISNUMBER(SEARCH("KOTAK",A1033)),"Kotak Mahindra Bank",
IF(ISNUMBER(SEARCH("SBI",A1033)),"State Bank of India",
IF(ISNUMBER(SEARCH("HSBC",A1033)),"HSBC",
IF(ISNUMBER(SEARCH("DBS",A1033)),"DBS Bank",
IF(ISNUMBER(SEARCH("SCAPIA",A1033)),"Scapia",
IF(ISNUMBER(SEARCH("STANDARD CHARTERED",A1033)),"Standard Chartered Bank",
IF(ISNUMBER(SEARCH("IDBI",A1033)),"IDBI Bank",
IF(OR(ISNUMBER(SEARCH("J&amp;K",A1033)),ISNUMBER(SEARCH("JAMMU",A1033))),"J&amp;K Bank",
IF(ISNUMBER(SEARCH("FEDERAL",A1033)),"Federal Bank",
IF(OR(ISNUMBER(SEARCH("BOBCARD",A1033)),ISNUMBER(SEARCH("BANK OF BARODA",A1033))),"BOB Card",
IF(OR(ISNUMBER(SEARCH("AMEX",A1033)),ISNUMBER(SEARCH("PLATINUM",A1033)),ISNUMBER(SEARCH("CENTURION",A1033))),"American Express",
IF(ISNUMBER(SEARCH("VISA",A1033)),"Visa",
IF(ISNUMBER(SEARCH("MASTERCARD",A1033)),"Mastercard",
"")))))))))))))))))))</f>
        <v>Kotak Mahindra Bank</v>
      </c>
      <c r="C1033">
        <v>189</v>
      </c>
      <c r="D1033">
        <v>189</v>
      </c>
      <c r="E1033">
        <v>442</v>
      </c>
      <c r="F1033" s="2">
        <v>433027.38</v>
      </c>
      <c r="G1033" s="2">
        <v>400103</v>
      </c>
      <c r="H1033" s="2">
        <v>680</v>
      </c>
      <c r="I1033" s="2">
        <v>265719.38</v>
      </c>
      <c r="J1033" s="2">
        <v>167308</v>
      </c>
      <c r="K1033" s="3">
        <v>167308</v>
      </c>
      <c r="L1033" s="3">
        <v>0</v>
      </c>
      <c r="M1033" s="3">
        <v>31724.38</v>
      </c>
      <c r="N1033" s="4">
        <v>46113</v>
      </c>
      <c r="O1033" s="3" t="str">
        <f t="shared" si="40"/>
        <v>Online</v>
      </c>
      <c r="P1033" s="11">
        <v>7997000</v>
      </c>
      <c r="Q1033" s="3">
        <v>5039900000</v>
      </c>
      <c r="R1033" s="3">
        <v>3186500000</v>
      </c>
      <c r="S1033" s="11">
        <v>11000000</v>
      </c>
    </row>
    <row r="1034" spans="1:19" x14ac:dyDescent="0.35">
      <c r="A1034" s="1" t="s">
        <v>147</v>
      </c>
      <c r="B1034" s="1" t="str">
        <f t="shared" si="41"/>
        <v>OneCard</v>
      </c>
      <c r="C1034">
        <v>1317</v>
      </c>
      <c r="D1034">
        <v>0</v>
      </c>
      <c r="E1034">
        <v>3001</v>
      </c>
      <c r="F1034" s="2">
        <v>1198224.76</v>
      </c>
      <c r="G1034" s="2">
        <v>1031570.64</v>
      </c>
      <c r="H1034" s="2">
        <v>21051</v>
      </c>
      <c r="I1034" s="2">
        <v>997824.76</v>
      </c>
      <c r="J1034" s="2">
        <v>200400</v>
      </c>
      <c r="K1034" s="3">
        <v>180360</v>
      </c>
      <c r="L1034" s="3">
        <v>20040</v>
      </c>
      <c r="M1034" s="3">
        <v>142985.12</v>
      </c>
      <c r="N1034" s="4">
        <v>46113</v>
      </c>
      <c r="O1034" s="3" t="str">
        <f t="shared" si="40"/>
        <v>Online</v>
      </c>
      <c r="P1034" s="11">
        <v>7997000</v>
      </c>
      <c r="Q1034" s="3">
        <v>5039900000</v>
      </c>
      <c r="R1034" s="3">
        <v>3186500000</v>
      </c>
      <c r="S1034" s="11">
        <v>11000000</v>
      </c>
    </row>
    <row r="1035" spans="1:19" x14ac:dyDescent="0.35">
      <c r="A1035" s="1" t="s">
        <v>155</v>
      </c>
      <c r="B1035" s="1" t="str">
        <f t="shared" si="41"/>
        <v>State Bank of India</v>
      </c>
      <c r="C1035">
        <v>2362</v>
      </c>
      <c r="D1035">
        <v>0</v>
      </c>
      <c r="E1035">
        <v>6849</v>
      </c>
      <c r="F1035" s="2">
        <v>1981432.24</v>
      </c>
      <c r="G1035" s="2">
        <v>0</v>
      </c>
      <c r="H1035" s="2">
        <v>1981432.24</v>
      </c>
      <c r="I1035" s="2">
        <v>1745232.24</v>
      </c>
      <c r="J1035" s="2">
        <v>236200</v>
      </c>
      <c r="K1035" s="3">
        <v>188960</v>
      </c>
      <c r="L1035" s="3">
        <v>47240</v>
      </c>
      <c r="M1035" s="3">
        <v>0</v>
      </c>
      <c r="N1035" s="4">
        <v>46113</v>
      </c>
      <c r="O1035" s="3" t="str">
        <f t="shared" si="40"/>
        <v>Offline - F&amp;B</v>
      </c>
      <c r="P1035" s="11">
        <v>7997000</v>
      </c>
      <c r="Q1035" s="3">
        <v>5039900000</v>
      </c>
      <c r="R1035" s="3">
        <v>3186500000</v>
      </c>
      <c r="S1035" s="11">
        <v>11000000</v>
      </c>
    </row>
    <row r="1036" spans="1:19" x14ac:dyDescent="0.35">
      <c r="A1036" s="1" t="s">
        <v>156</v>
      </c>
      <c r="B1036" s="1" t="str">
        <f t="shared" si="41"/>
        <v>State Bank of India</v>
      </c>
      <c r="C1036">
        <v>1531</v>
      </c>
      <c r="D1036">
        <v>1531</v>
      </c>
      <c r="E1036">
        <v>4211</v>
      </c>
      <c r="F1036" s="2">
        <v>1078322.6399999999</v>
      </c>
      <c r="G1036" s="2">
        <v>1078322.6399999999</v>
      </c>
      <c r="H1036" s="2">
        <v>0</v>
      </c>
      <c r="I1036" s="2">
        <v>750490.69</v>
      </c>
      <c r="J1036" s="2">
        <v>327831.95</v>
      </c>
      <c r="K1036" s="3">
        <v>327831.95</v>
      </c>
      <c r="L1036" s="3">
        <v>0</v>
      </c>
      <c r="M1036" s="3">
        <v>0</v>
      </c>
      <c r="N1036" s="4">
        <v>46113</v>
      </c>
      <c r="O1036" s="3" t="str">
        <f t="shared" si="40"/>
        <v>Offline - Box Office</v>
      </c>
      <c r="P1036" s="11">
        <v>7997000</v>
      </c>
      <c r="Q1036" s="3">
        <v>5039900000</v>
      </c>
      <c r="R1036" s="3">
        <v>3186500000</v>
      </c>
      <c r="S1036" s="11">
        <v>11000000</v>
      </c>
    </row>
    <row r="1037" spans="1:19" x14ac:dyDescent="0.35">
      <c r="A1037" s="1" t="s">
        <v>40</v>
      </c>
      <c r="B1037" s="1" t="str">
        <f t="shared" si="41"/>
        <v>Standard Chartered Bank</v>
      </c>
      <c r="C1037">
        <v>12</v>
      </c>
      <c r="D1037">
        <v>12</v>
      </c>
      <c r="E1037">
        <v>27</v>
      </c>
      <c r="F1037" s="2">
        <v>6195.2</v>
      </c>
      <c r="G1037" s="2">
        <v>6195.2</v>
      </c>
      <c r="H1037" s="2">
        <v>0</v>
      </c>
      <c r="I1037" s="2">
        <v>3847.6</v>
      </c>
      <c r="J1037" s="2">
        <v>2347.6</v>
      </c>
      <c r="K1037" s="3">
        <v>2347.6</v>
      </c>
      <c r="L1037" s="3">
        <v>0</v>
      </c>
      <c r="M1037" s="3">
        <v>0</v>
      </c>
      <c r="N1037" s="4">
        <v>46113</v>
      </c>
      <c r="O1037" s="3" t="str">
        <f t="shared" si="40"/>
        <v>Offline - Box Office</v>
      </c>
      <c r="P1037" s="11">
        <v>7997000</v>
      </c>
      <c r="Q1037" s="3">
        <v>5039900000</v>
      </c>
      <c r="R1037" s="3">
        <v>3186500000</v>
      </c>
      <c r="S1037" s="11">
        <v>11000000</v>
      </c>
    </row>
    <row r="1038" spans="1:19" x14ac:dyDescent="0.35">
      <c r="A1038" s="1" t="s">
        <v>41</v>
      </c>
      <c r="B1038" s="1" t="str">
        <f t="shared" si="41"/>
        <v>Standard Chartered Bank</v>
      </c>
      <c r="C1038">
        <v>48</v>
      </c>
      <c r="D1038">
        <v>48</v>
      </c>
      <c r="E1038">
        <v>107</v>
      </c>
      <c r="F1038" s="2">
        <v>32079.3</v>
      </c>
      <c r="G1038" s="2">
        <v>27061.1</v>
      </c>
      <c r="H1038" s="2">
        <v>710</v>
      </c>
      <c r="I1038" s="2">
        <v>22768.7</v>
      </c>
      <c r="J1038" s="2">
        <v>9310.6</v>
      </c>
      <c r="K1038" s="3">
        <v>9310.6</v>
      </c>
      <c r="L1038" s="3">
        <v>0</v>
      </c>
      <c r="M1038" s="3">
        <v>4236.2</v>
      </c>
      <c r="N1038" s="4">
        <v>46113</v>
      </c>
      <c r="O1038" s="3" t="str">
        <f t="shared" si="40"/>
        <v>Online</v>
      </c>
      <c r="P1038" s="11">
        <v>7997000</v>
      </c>
      <c r="Q1038" s="3">
        <v>5039900000</v>
      </c>
      <c r="R1038" s="3">
        <v>3186500000</v>
      </c>
      <c r="S1038" s="11">
        <v>11000000</v>
      </c>
    </row>
    <row r="1039" spans="1:19" x14ac:dyDescent="0.35">
      <c r="A1039" s="1" t="s">
        <v>125</v>
      </c>
      <c r="B1039" s="1" t="str">
        <f t="shared" si="41"/>
        <v>HDFC Bank</v>
      </c>
      <c r="C1039">
        <v>7085</v>
      </c>
      <c r="D1039">
        <v>0</v>
      </c>
      <c r="E1039">
        <v>37282</v>
      </c>
      <c r="F1039" s="2">
        <v>15091659.48</v>
      </c>
      <c r="G1039" s="2">
        <v>4996671.79</v>
      </c>
      <c r="H1039" s="2">
        <v>9921766.2699999996</v>
      </c>
      <c r="I1039" s="2">
        <v>14448417.48</v>
      </c>
      <c r="J1039" s="2">
        <v>643242</v>
      </c>
      <c r="K1039" s="3">
        <v>0</v>
      </c>
      <c r="L1039" s="3">
        <v>643242</v>
      </c>
      <c r="M1039" s="3">
        <v>170703.42</v>
      </c>
      <c r="N1039" s="4">
        <v>46113</v>
      </c>
      <c r="O1039" s="3" t="str">
        <f t="shared" si="40"/>
        <v>Other</v>
      </c>
      <c r="P1039" s="11">
        <v>7997000</v>
      </c>
      <c r="Q1039" s="3">
        <v>5039900000</v>
      </c>
      <c r="R1039" s="3">
        <v>3186500000</v>
      </c>
      <c r="S1039" s="11">
        <v>11000000</v>
      </c>
    </row>
    <row r="1040" spans="1:19" x14ac:dyDescent="0.35">
      <c r="A1040" s="1" t="s">
        <v>137</v>
      </c>
      <c r="B1040" s="1" t="str">
        <f t="shared" si="41"/>
        <v>Axis Bank</v>
      </c>
      <c r="C1040">
        <v>92</v>
      </c>
      <c r="D1040">
        <v>0</v>
      </c>
      <c r="E1040">
        <v>218</v>
      </c>
      <c r="F1040" s="2">
        <v>76701.66</v>
      </c>
      <c r="G1040" s="2">
        <v>65291.96</v>
      </c>
      <c r="H1040" s="2">
        <v>1940</v>
      </c>
      <c r="I1040" s="2">
        <v>56829.66</v>
      </c>
      <c r="J1040" s="2">
        <v>19872</v>
      </c>
      <c r="K1040" s="3">
        <v>11923.2</v>
      </c>
      <c r="L1040" s="3">
        <v>7948.8</v>
      </c>
      <c r="M1040" s="3">
        <v>9239.7000000000007</v>
      </c>
      <c r="N1040" s="4">
        <v>46174</v>
      </c>
      <c r="O1040" s="3" t="str">
        <f t="shared" si="40"/>
        <v>Online</v>
      </c>
      <c r="P1040" s="11">
        <v>8999000</v>
      </c>
      <c r="Q1040" s="3">
        <v>5489900000</v>
      </c>
      <c r="R1040" s="3">
        <v>3517700000</v>
      </c>
      <c r="S1040" s="11">
        <v>13000000</v>
      </c>
    </row>
    <row r="1041" spans="1:19" x14ac:dyDescent="0.35">
      <c r="A1041" s="1" t="s">
        <v>91</v>
      </c>
      <c r="B1041" s="1" t="str">
        <f t="shared" si="41"/>
        <v>American Express</v>
      </c>
      <c r="C1041">
        <v>360</v>
      </c>
      <c r="D1041">
        <v>360</v>
      </c>
      <c r="E1041">
        <v>994</v>
      </c>
      <c r="F1041" s="2">
        <v>563894.68000000005</v>
      </c>
      <c r="G1041" s="2">
        <v>563894.68000000005</v>
      </c>
      <c r="H1041" s="2">
        <v>0</v>
      </c>
      <c r="I1041" s="2">
        <v>420694.66</v>
      </c>
      <c r="J1041" s="2">
        <v>143200.01999999999</v>
      </c>
      <c r="K1041" s="3">
        <v>71600.03</v>
      </c>
      <c r="L1041" s="3">
        <v>71600.03</v>
      </c>
      <c r="M1041" s="3">
        <v>0</v>
      </c>
      <c r="N1041" s="4">
        <v>46174</v>
      </c>
      <c r="O1041" s="3" t="str">
        <f t="shared" si="40"/>
        <v>Offline - Box Office</v>
      </c>
      <c r="P1041" s="11">
        <v>8999000</v>
      </c>
      <c r="Q1041" s="3">
        <v>5489900000</v>
      </c>
      <c r="R1041" s="3">
        <v>3517700000</v>
      </c>
      <c r="S1041" s="11">
        <v>13000000</v>
      </c>
    </row>
    <row r="1042" spans="1:19" x14ac:dyDescent="0.35">
      <c r="A1042" s="1" t="s">
        <v>93</v>
      </c>
      <c r="B1042" s="1" t="str">
        <f t="shared" si="41"/>
        <v>American Express</v>
      </c>
      <c r="C1042">
        <v>2236</v>
      </c>
      <c r="D1042">
        <v>2236</v>
      </c>
      <c r="E1042">
        <v>5701</v>
      </c>
      <c r="F1042" s="2">
        <v>3751636.56</v>
      </c>
      <c r="G1042" s="2">
        <v>3374143.14</v>
      </c>
      <c r="H1042" s="2">
        <v>29015</v>
      </c>
      <c r="I1042" s="2">
        <v>2820535.66</v>
      </c>
      <c r="J1042" s="2">
        <v>931100.9</v>
      </c>
      <c r="K1042" s="3">
        <v>465550.72</v>
      </c>
      <c r="L1042" s="3">
        <v>465550.72</v>
      </c>
      <c r="M1042" s="3">
        <v>341212.42</v>
      </c>
      <c r="N1042" s="4">
        <v>46174</v>
      </c>
      <c r="O1042" s="3" t="str">
        <f t="shared" si="40"/>
        <v>Online</v>
      </c>
      <c r="P1042" s="11">
        <v>8999000</v>
      </c>
      <c r="Q1042" s="3">
        <v>5489900000</v>
      </c>
      <c r="R1042" s="3">
        <v>3517700000</v>
      </c>
      <c r="S1042" s="11">
        <v>13000000</v>
      </c>
    </row>
    <row r="1043" spans="1:19" x14ac:dyDescent="0.35">
      <c r="A1043" s="1" t="s">
        <v>43</v>
      </c>
      <c r="B1043" s="1" t="str">
        <f t="shared" si="41"/>
        <v>Axis Bank</v>
      </c>
      <c r="C1043">
        <v>13</v>
      </c>
      <c r="D1043">
        <v>13</v>
      </c>
      <c r="E1043">
        <v>50</v>
      </c>
      <c r="F1043" s="2">
        <v>12141.36</v>
      </c>
      <c r="G1043" s="2">
        <v>12141.36</v>
      </c>
      <c r="H1043" s="2">
        <v>0</v>
      </c>
      <c r="I1043" s="2">
        <v>9617.76</v>
      </c>
      <c r="J1043" s="2">
        <v>2523.6</v>
      </c>
      <c r="K1043" s="3">
        <v>2220.7600000000002</v>
      </c>
      <c r="L1043" s="3">
        <v>302.83999999999997</v>
      </c>
      <c r="M1043" s="3">
        <v>0</v>
      </c>
      <c r="N1043" s="4">
        <v>46174</v>
      </c>
      <c r="O1043" s="3" t="str">
        <f t="shared" si="40"/>
        <v>Offline - Box Office</v>
      </c>
      <c r="P1043" s="11">
        <v>8999000</v>
      </c>
      <c r="Q1043" s="3">
        <v>5489900000</v>
      </c>
      <c r="R1043" s="3">
        <v>3517700000</v>
      </c>
      <c r="S1043" s="11">
        <v>13000000</v>
      </c>
    </row>
    <row r="1044" spans="1:19" x14ac:dyDescent="0.35">
      <c r="A1044" s="1" t="s">
        <v>23</v>
      </c>
      <c r="B1044" s="1" t="str">
        <f t="shared" si="41"/>
        <v>Axis Bank</v>
      </c>
      <c r="C1044">
        <v>35</v>
      </c>
      <c r="D1044">
        <v>35</v>
      </c>
      <c r="E1044">
        <v>90</v>
      </c>
      <c r="F1044" s="2">
        <v>43348.01</v>
      </c>
      <c r="G1044" s="2">
        <v>38006.53</v>
      </c>
      <c r="H1044" s="2">
        <v>620</v>
      </c>
      <c r="I1044" s="2">
        <v>36643.769999999997</v>
      </c>
      <c r="J1044" s="2">
        <v>6704.24</v>
      </c>
      <c r="K1044" s="3">
        <v>5698.6</v>
      </c>
      <c r="L1044" s="3">
        <v>1005.64</v>
      </c>
      <c r="M1044" s="3">
        <v>4623.4799999999996</v>
      </c>
      <c r="N1044" s="4">
        <v>46174</v>
      </c>
      <c r="O1044" s="3" t="str">
        <f t="shared" si="40"/>
        <v>Online</v>
      </c>
      <c r="P1044" s="11">
        <v>8999000</v>
      </c>
      <c r="Q1044" s="3">
        <v>5489900000</v>
      </c>
      <c r="R1044" s="3">
        <v>3517700000</v>
      </c>
      <c r="S1044" s="11">
        <v>13000000</v>
      </c>
    </row>
    <row r="1045" spans="1:19" x14ac:dyDescent="0.35">
      <c r="A1045" s="1" t="s">
        <v>44</v>
      </c>
      <c r="B1045" s="1" t="str">
        <f t="shared" si="41"/>
        <v>Axis Bank</v>
      </c>
      <c r="C1045">
        <v>207</v>
      </c>
      <c r="D1045">
        <v>207</v>
      </c>
      <c r="E1045">
        <v>489</v>
      </c>
      <c r="F1045" s="2">
        <v>132623.54999999999</v>
      </c>
      <c r="G1045" s="2">
        <v>132623.54999999999</v>
      </c>
      <c r="H1045" s="2">
        <v>0</v>
      </c>
      <c r="I1045" s="2">
        <v>93973.64</v>
      </c>
      <c r="J1045" s="2">
        <v>38649.910000000003</v>
      </c>
      <c r="K1045" s="3">
        <v>34011.870000000003</v>
      </c>
      <c r="L1045" s="3">
        <v>4638.04</v>
      </c>
      <c r="M1045" s="3">
        <v>0</v>
      </c>
      <c r="N1045" s="4">
        <v>46174</v>
      </c>
      <c r="O1045" s="3" t="str">
        <f t="shared" si="40"/>
        <v>Offline - Box Office</v>
      </c>
      <c r="P1045" s="11">
        <v>8999000</v>
      </c>
      <c r="Q1045" s="3">
        <v>5489900000</v>
      </c>
      <c r="R1045" s="3">
        <v>3517700000</v>
      </c>
      <c r="S1045" s="11">
        <v>13000000</v>
      </c>
    </row>
    <row r="1046" spans="1:19" x14ac:dyDescent="0.35">
      <c r="A1046" s="1" t="s">
        <v>24</v>
      </c>
      <c r="B1046" s="1" t="str">
        <f t="shared" si="41"/>
        <v>Axis Bank</v>
      </c>
      <c r="C1046">
        <v>1026</v>
      </c>
      <c r="D1046">
        <v>1026</v>
      </c>
      <c r="E1046">
        <v>2400</v>
      </c>
      <c r="F1046" s="2">
        <v>684475.2</v>
      </c>
      <c r="G1046" s="2">
        <v>590175.46</v>
      </c>
      <c r="H1046" s="2">
        <v>5134</v>
      </c>
      <c r="I1046" s="2">
        <v>491253.54</v>
      </c>
      <c r="J1046" s="2">
        <v>193221.66</v>
      </c>
      <c r="K1046" s="3">
        <v>164238.39999999999</v>
      </c>
      <c r="L1046" s="3">
        <v>28983.26</v>
      </c>
      <c r="M1046" s="3">
        <v>87467.74</v>
      </c>
      <c r="N1046" s="4">
        <v>46174</v>
      </c>
      <c r="O1046" s="3" t="str">
        <f t="shared" si="40"/>
        <v>Online</v>
      </c>
      <c r="P1046" s="11">
        <v>8999000</v>
      </c>
      <c r="Q1046" s="3">
        <v>5489900000</v>
      </c>
      <c r="R1046" s="3">
        <v>3517700000</v>
      </c>
      <c r="S1046" s="11">
        <v>13000000</v>
      </c>
    </row>
    <row r="1047" spans="1:19" x14ac:dyDescent="0.35">
      <c r="A1047" s="1" t="s">
        <v>139</v>
      </c>
      <c r="B1047" s="1" t="str">
        <f t="shared" si="41"/>
        <v>BOB Card</v>
      </c>
      <c r="C1047">
        <v>1</v>
      </c>
      <c r="D1047">
        <v>0</v>
      </c>
      <c r="E1047">
        <v>1</v>
      </c>
      <c r="F1047" s="2">
        <v>800</v>
      </c>
      <c r="G1047" s="2">
        <v>0</v>
      </c>
      <c r="H1047" s="2">
        <v>800</v>
      </c>
      <c r="I1047" s="2">
        <v>720</v>
      </c>
      <c r="J1047" s="2">
        <v>80</v>
      </c>
      <c r="K1047" s="3">
        <v>56</v>
      </c>
      <c r="L1047" s="3">
        <v>24</v>
      </c>
      <c r="M1047" s="3">
        <v>0</v>
      </c>
      <c r="N1047" s="4">
        <v>46174</v>
      </c>
      <c r="O1047" s="3" t="str">
        <f t="shared" si="40"/>
        <v>Offline - F&amp;B</v>
      </c>
      <c r="P1047" s="11">
        <v>8999000</v>
      </c>
      <c r="Q1047" s="3">
        <v>5489900000</v>
      </c>
      <c r="R1047" s="3">
        <v>3517700000</v>
      </c>
      <c r="S1047" s="11">
        <v>13000000</v>
      </c>
    </row>
    <row r="1048" spans="1:19" x14ac:dyDescent="0.35">
      <c r="A1048" s="1" t="s">
        <v>54</v>
      </c>
      <c r="B1048" s="1" t="str">
        <f t="shared" si="41"/>
        <v>BOB Card</v>
      </c>
      <c r="C1048">
        <v>86</v>
      </c>
      <c r="D1048">
        <v>0</v>
      </c>
      <c r="E1048">
        <v>150</v>
      </c>
      <c r="F1048" s="2">
        <v>74776.320000000007</v>
      </c>
      <c r="G1048" s="2">
        <v>66098.679999999993</v>
      </c>
      <c r="H1048" s="2">
        <v>7969</v>
      </c>
      <c r="I1048" s="2">
        <v>67789.320000000007</v>
      </c>
      <c r="J1048" s="2">
        <v>6987</v>
      </c>
      <c r="K1048" s="3">
        <v>4890.8999999999996</v>
      </c>
      <c r="L1048" s="3">
        <v>2096.1</v>
      </c>
      <c r="M1048" s="3">
        <v>686.64</v>
      </c>
      <c r="N1048" s="4">
        <v>46174</v>
      </c>
      <c r="O1048" s="3" t="str">
        <f t="shared" si="40"/>
        <v>Online</v>
      </c>
      <c r="P1048" s="11">
        <v>8999000</v>
      </c>
      <c r="Q1048" s="3">
        <v>5489900000</v>
      </c>
      <c r="R1048" s="3">
        <v>3517700000</v>
      </c>
      <c r="S1048" s="11">
        <v>13000000</v>
      </c>
    </row>
    <row r="1049" spans="1:19" x14ac:dyDescent="0.35">
      <c r="A1049" s="1" t="s">
        <v>150</v>
      </c>
      <c r="B1049" s="1" t="str">
        <f t="shared" si="41"/>
        <v>Kotak Mahindra Bank</v>
      </c>
      <c r="C1049">
        <v>264</v>
      </c>
      <c r="D1049">
        <v>264</v>
      </c>
      <c r="E1049">
        <v>642</v>
      </c>
      <c r="F1049" s="2">
        <v>235258.18</v>
      </c>
      <c r="G1049" s="2">
        <v>201001.78</v>
      </c>
      <c r="H1049" s="2">
        <v>5600</v>
      </c>
      <c r="I1049" s="2">
        <v>176548.73</v>
      </c>
      <c r="J1049" s="2">
        <v>58709.45</v>
      </c>
      <c r="K1049" s="3">
        <v>58709.45</v>
      </c>
      <c r="L1049" s="3">
        <v>0</v>
      </c>
      <c r="M1049" s="3">
        <v>27908.400000000001</v>
      </c>
      <c r="N1049" s="4">
        <v>46174</v>
      </c>
      <c r="O1049" s="3" t="str">
        <f t="shared" si="40"/>
        <v>Online</v>
      </c>
      <c r="P1049" s="11">
        <v>8999000</v>
      </c>
      <c r="Q1049" s="3">
        <v>5489900000</v>
      </c>
      <c r="R1049" s="3">
        <v>3517700000</v>
      </c>
      <c r="S1049" s="11">
        <v>13000000</v>
      </c>
    </row>
    <row r="1050" spans="1:19" x14ac:dyDescent="0.35">
      <c r="A1050" s="1" t="s">
        <v>27</v>
      </c>
      <c r="B1050" s="1" t="str">
        <f t="shared" si="41"/>
        <v>Federal Bank</v>
      </c>
      <c r="C1050">
        <v>63</v>
      </c>
      <c r="D1050">
        <v>63</v>
      </c>
      <c r="E1050">
        <v>165</v>
      </c>
      <c r="F1050" s="2">
        <v>46271.14</v>
      </c>
      <c r="G1050" s="2">
        <v>46271.14</v>
      </c>
      <c r="H1050" s="2">
        <v>0</v>
      </c>
      <c r="I1050" s="2">
        <v>39979.14</v>
      </c>
      <c r="J1050" s="2">
        <v>6292</v>
      </c>
      <c r="K1050" s="3">
        <v>6292</v>
      </c>
      <c r="L1050" s="3">
        <v>0</v>
      </c>
      <c r="M1050" s="3">
        <v>0</v>
      </c>
      <c r="N1050" s="4">
        <v>46174</v>
      </c>
      <c r="O1050" s="3" t="str">
        <f t="shared" si="40"/>
        <v>Offline - Box Office</v>
      </c>
      <c r="P1050" s="11">
        <v>8999000</v>
      </c>
      <c r="Q1050" s="3">
        <v>5489900000</v>
      </c>
      <c r="R1050" s="3">
        <v>3517700000</v>
      </c>
      <c r="S1050" s="11">
        <v>13000000</v>
      </c>
    </row>
    <row r="1051" spans="1:19" x14ac:dyDescent="0.35">
      <c r="A1051" s="1" t="s">
        <v>28</v>
      </c>
      <c r="B1051" s="1" t="str">
        <f t="shared" si="41"/>
        <v>Federal Bank</v>
      </c>
      <c r="C1051">
        <v>153</v>
      </c>
      <c r="D1051">
        <v>153</v>
      </c>
      <c r="E1051">
        <v>397</v>
      </c>
      <c r="F1051" s="2">
        <v>120530.74</v>
      </c>
      <c r="G1051" s="2">
        <v>103305.60000000001</v>
      </c>
      <c r="H1051" s="2">
        <v>714</v>
      </c>
      <c r="I1051" s="2">
        <v>105303.31</v>
      </c>
      <c r="J1051" s="2">
        <v>15227.43</v>
      </c>
      <c r="K1051" s="3">
        <v>15227.43</v>
      </c>
      <c r="L1051" s="3">
        <v>0</v>
      </c>
      <c r="M1051" s="3">
        <v>16159.14</v>
      </c>
      <c r="N1051" s="4">
        <v>46174</v>
      </c>
      <c r="O1051" s="3" t="str">
        <f t="shared" si="40"/>
        <v>Online</v>
      </c>
      <c r="P1051" s="11">
        <v>8999000</v>
      </c>
      <c r="Q1051" s="3">
        <v>5489900000</v>
      </c>
      <c r="R1051" s="3">
        <v>3517700000</v>
      </c>
      <c r="S1051" s="11">
        <v>13000000</v>
      </c>
    </row>
    <row r="1052" spans="1:19" x14ac:dyDescent="0.35">
      <c r="A1052" s="1" t="s">
        <v>29</v>
      </c>
      <c r="B1052" s="1" t="str">
        <f t="shared" si="41"/>
        <v>Federal Bank</v>
      </c>
      <c r="C1052">
        <v>250</v>
      </c>
      <c r="D1052">
        <v>250</v>
      </c>
      <c r="E1052">
        <v>659</v>
      </c>
      <c r="F1052" s="2">
        <v>157992.76999999999</v>
      </c>
      <c r="G1052" s="2">
        <v>157992.76999999999</v>
      </c>
      <c r="H1052" s="2">
        <v>0</v>
      </c>
      <c r="I1052" s="2">
        <v>133033.76999999999</v>
      </c>
      <c r="J1052" s="2">
        <v>24959</v>
      </c>
      <c r="K1052" s="3">
        <v>24959</v>
      </c>
      <c r="L1052" s="3">
        <v>0</v>
      </c>
      <c r="M1052" s="3">
        <v>0</v>
      </c>
      <c r="N1052" s="4">
        <v>46174</v>
      </c>
      <c r="O1052" s="3" t="str">
        <f t="shared" si="40"/>
        <v>Offline - Box Office</v>
      </c>
      <c r="P1052" s="11">
        <v>8999000</v>
      </c>
      <c r="Q1052" s="3">
        <v>5489900000</v>
      </c>
      <c r="R1052" s="3">
        <v>3517700000</v>
      </c>
      <c r="S1052" s="11">
        <v>13000000</v>
      </c>
    </row>
    <row r="1053" spans="1:19" x14ac:dyDescent="0.35">
      <c r="A1053" s="1" t="s">
        <v>30</v>
      </c>
      <c r="B1053" s="1" t="str">
        <f t="shared" si="41"/>
        <v>Federal Bank</v>
      </c>
      <c r="C1053">
        <v>320</v>
      </c>
      <c r="D1053">
        <v>320</v>
      </c>
      <c r="E1053">
        <v>796</v>
      </c>
      <c r="F1053" s="2">
        <v>214931.12</v>
      </c>
      <c r="G1053" s="2">
        <v>181635.92</v>
      </c>
      <c r="H1053" s="2">
        <v>3584</v>
      </c>
      <c r="I1053" s="2">
        <v>183210.25</v>
      </c>
      <c r="J1053" s="2">
        <v>31720.87</v>
      </c>
      <c r="K1053" s="3">
        <v>31720.87</v>
      </c>
      <c r="L1053" s="3">
        <v>0</v>
      </c>
      <c r="M1053" s="3">
        <v>29039.200000000001</v>
      </c>
      <c r="N1053" s="4">
        <v>46174</v>
      </c>
      <c r="O1053" s="3" t="str">
        <f t="shared" si="40"/>
        <v>Online</v>
      </c>
      <c r="P1053" s="11">
        <v>8999000</v>
      </c>
      <c r="Q1053" s="3">
        <v>5489900000</v>
      </c>
      <c r="R1053" s="3">
        <v>3517700000</v>
      </c>
      <c r="S1053" s="11">
        <v>13000000</v>
      </c>
    </row>
    <row r="1054" spans="1:19" x14ac:dyDescent="0.35">
      <c r="A1054" s="1" t="s">
        <v>151</v>
      </c>
      <c r="B1054" s="1" t="str">
        <f t="shared" si="41"/>
        <v>AU Bank</v>
      </c>
      <c r="C1054">
        <v>318</v>
      </c>
      <c r="D1054">
        <v>318</v>
      </c>
      <c r="E1054">
        <v>951</v>
      </c>
      <c r="F1054" s="2">
        <v>297559.90000000002</v>
      </c>
      <c r="G1054" s="2">
        <v>297559.90000000002</v>
      </c>
      <c r="H1054" s="2">
        <v>0</v>
      </c>
      <c r="I1054" s="2">
        <v>257895.9</v>
      </c>
      <c r="J1054" s="2">
        <v>39664</v>
      </c>
      <c r="K1054" s="3">
        <v>27764.799999999999</v>
      </c>
      <c r="L1054" s="3">
        <v>11899.2</v>
      </c>
      <c r="M1054" s="3">
        <v>0</v>
      </c>
      <c r="N1054" s="4">
        <v>46174</v>
      </c>
      <c r="O1054" s="3" t="str">
        <f t="shared" si="40"/>
        <v>Offline - Box Office</v>
      </c>
      <c r="P1054" s="11">
        <v>8999000</v>
      </c>
      <c r="Q1054" s="3">
        <v>5489900000</v>
      </c>
      <c r="R1054" s="3">
        <v>3517700000</v>
      </c>
      <c r="S1054" s="11">
        <v>13000000</v>
      </c>
    </row>
    <row r="1055" spans="1:19" x14ac:dyDescent="0.35">
      <c r="A1055" s="1" t="s">
        <v>152</v>
      </c>
      <c r="B1055" s="1" t="str">
        <f t="shared" si="41"/>
        <v>AU Bank</v>
      </c>
      <c r="C1055">
        <v>353</v>
      </c>
      <c r="D1055">
        <v>353</v>
      </c>
      <c r="E1055">
        <v>966</v>
      </c>
      <c r="F1055" s="2">
        <v>358707.48</v>
      </c>
      <c r="G1055" s="2">
        <v>309195.46000000002</v>
      </c>
      <c r="H1055" s="2">
        <v>5408</v>
      </c>
      <c r="I1055" s="2">
        <v>314660.47999999998</v>
      </c>
      <c r="J1055" s="2">
        <v>44047</v>
      </c>
      <c r="K1055" s="3">
        <v>30832.9</v>
      </c>
      <c r="L1055" s="3">
        <v>13214.1</v>
      </c>
      <c r="M1055" s="3">
        <v>43290.02</v>
      </c>
      <c r="N1055" s="4">
        <v>46174</v>
      </c>
      <c r="O1055" s="3" t="str">
        <f t="shared" si="40"/>
        <v>Online</v>
      </c>
      <c r="P1055" s="11">
        <v>8999000</v>
      </c>
      <c r="Q1055" s="3">
        <v>5489900000</v>
      </c>
      <c r="R1055" s="3">
        <v>3517700000</v>
      </c>
      <c r="S1055" s="11">
        <v>13000000</v>
      </c>
    </row>
    <row r="1056" spans="1:19" x14ac:dyDescent="0.35">
      <c r="A1056" s="1" t="s">
        <v>133</v>
      </c>
      <c r="B1056" s="1" t="str">
        <f t="shared" si="41"/>
        <v>HDFC Bank</v>
      </c>
      <c r="C1056">
        <v>79</v>
      </c>
      <c r="D1056">
        <v>0</v>
      </c>
      <c r="E1056">
        <v>95</v>
      </c>
      <c r="F1056" s="2">
        <v>63325</v>
      </c>
      <c r="G1056" s="2">
        <v>0</v>
      </c>
      <c r="H1056" s="2">
        <v>63325</v>
      </c>
      <c r="I1056" s="2">
        <v>55425</v>
      </c>
      <c r="J1056" s="2">
        <v>7900</v>
      </c>
      <c r="K1056" s="3">
        <v>7900</v>
      </c>
      <c r="L1056" s="3">
        <v>0</v>
      </c>
      <c r="M1056" s="3">
        <v>0</v>
      </c>
      <c r="N1056" s="4">
        <v>46174</v>
      </c>
      <c r="O1056" s="3" t="str">
        <f t="shared" si="40"/>
        <v>Offline - F&amp;B</v>
      </c>
      <c r="P1056" s="11">
        <v>8999000</v>
      </c>
      <c r="Q1056" s="3">
        <v>5489900000</v>
      </c>
      <c r="R1056" s="3">
        <v>3517700000</v>
      </c>
      <c r="S1056" s="11">
        <v>13000000</v>
      </c>
    </row>
    <row r="1057" spans="1:19" x14ac:dyDescent="0.35">
      <c r="A1057" s="1" t="s">
        <v>32</v>
      </c>
      <c r="B1057" s="1" t="str">
        <f t="shared" si="41"/>
        <v>ICICI Bank</v>
      </c>
      <c r="C1057">
        <v>2456</v>
      </c>
      <c r="D1057">
        <v>0</v>
      </c>
      <c r="E1057">
        <v>6825</v>
      </c>
      <c r="F1057" s="2">
        <v>1775318.03</v>
      </c>
      <c r="G1057" s="2">
        <v>1775395.43</v>
      </c>
      <c r="H1057" s="2">
        <v>0</v>
      </c>
      <c r="I1057" s="2">
        <v>1520703.03</v>
      </c>
      <c r="J1057" s="2">
        <v>254615</v>
      </c>
      <c r="K1057" s="3">
        <v>224061.2</v>
      </c>
      <c r="L1057" s="3">
        <v>30553.8</v>
      </c>
      <c r="M1057" s="3">
        <v>0</v>
      </c>
      <c r="N1057" s="4">
        <v>46174</v>
      </c>
      <c r="O1057" s="3" t="str">
        <f t="shared" si="40"/>
        <v>Offline - Box Office</v>
      </c>
      <c r="P1057" s="11">
        <v>8999000</v>
      </c>
      <c r="Q1057" s="3">
        <v>5489900000</v>
      </c>
      <c r="R1057" s="3">
        <v>3517700000</v>
      </c>
      <c r="S1057" s="11">
        <v>13000000</v>
      </c>
    </row>
    <row r="1058" spans="1:19" x14ac:dyDescent="0.35">
      <c r="A1058" s="1" t="s">
        <v>33</v>
      </c>
      <c r="B1058" s="1" t="str">
        <f t="shared" si="41"/>
        <v>ICICI Bank</v>
      </c>
      <c r="C1058">
        <v>955</v>
      </c>
      <c r="D1058">
        <v>0</v>
      </c>
      <c r="E1058">
        <v>2545</v>
      </c>
      <c r="F1058" s="2">
        <v>808402.36</v>
      </c>
      <c r="G1058" s="2">
        <v>694681.78</v>
      </c>
      <c r="H1058" s="2">
        <v>12940</v>
      </c>
      <c r="I1058" s="2">
        <v>708190.36</v>
      </c>
      <c r="J1058" s="2">
        <v>100212</v>
      </c>
      <c r="K1058" s="3">
        <v>85180.2</v>
      </c>
      <c r="L1058" s="3">
        <v>15031.8</v>
      </c>
      <c r="M1058" s="3">
        <v>98634.66</v>
      </c>
      <c r="N1058" s="4">
        <v>46174</v>
      </c>
      <c r="O1058" s="3" t="str">
        <f t="shared" si="40"/>
        <v>Online</v>
      </c>
      <c r="P1058" s="11">
        <v>8999000</v>
      </c>
      <c r="Q1058" s="3">
        <v>5489900000</v>
      </c>
      <c r="R1058" s="3">
        <v>3517700000</v>
      </c>
      <c r="S1058" s="11">
        <v>13000000</v>
      </c>
    </row>
    <row r="1059" spans="1:19" x14ac:dyDescent="0.35">
      <c r="A1059" s="1" t="s">
        <v>34</v>
      </c>
      <c r="B1059" s="1" t="str">
        <f t="shared" si="41"/>
        <v>ICICI Bank</v>
      </c>
      <c r="C1059">
        <v>289</v>
      </c>
      <c r="D1059">
        <v>0</v>
      </c>
      <c r="E1059">
        <v>780</v>
      </c>
      <c r="F1059" s="2">
        <v>207792.76</v>
      </c>
      <c r="G1059" s="2">
        <v>207792.76</v>
      </c>
      <c r="H1059" s="2">
        <v>0</v>
      </c>
      <c r="I1059" s="2">
        <v>192778.76</v>
      </c>
      <c r="J1059" s="2">
        <v>15014</v>
      </c>
      <c r="K1059" s="3">
        <v>13212.32</v>
      </c>
      <c r="L1059" s="3">
        <v>1801.68</v>
      </c>
      <c r="M1059" s="3">
        <v>0</v>
      </c>
      <c r="N1059" s="4">
        <v>46174</v>
      </c>
      <c r="O1059" s="3" t="str">
        <f t="shared" si="40"/>
        <v>Offline - Box Office</v>
      </c>
      <c r="P1059" s="11">
        <v>8999000</v>
      </c>
      <c r="Q1059" s="3">
        <v>5489900000</v>
      </c>
      <c r="R1059" s="3">
        <v>3517700000</v>
      </c>
      <c r="S1059" s="11">
        <v>13000000</v>
      </c>
    </row>
    <row r="1060" spans="1:19" x14ac:dyDescent="0.35">
      <c r="A1060" s="1" t="s">
        <v>35</v>
      </c>
      <c r="B1060" s="1" t="str">
        <f t="shared" si="41"/>
        <v>ICICI Bank</v>
      </c>
      <c r="C1060">
        <v>93</v>
      </c>
      <c r="D1060">
        <v>0</v>
      </c>
      <c r="E1060">
        <v>269</v>
      </c>
      <c r="F1060" s="2">
        <v>86726.3</v>
      </c>
      <c r="G1060" s="2">
        <v>74124.960000000006</v>
      </c>
      <c r="H1060" s="2">
        <v>1590</v>
      </c>
      <c r="I1060" s="2">
        <v>81390.3</v>
      </c>
      <c r="J1060" s="2">
        <v>5336</v>
      </c>
      <c r="K1060" s="3">
        <v>4535.6000000000004</v>
      </c>
      <c r="L1060" s="3">
        <v>800.4</v>
      </c>
      <c r="M1060" s="3">
        <v>10755.34</v>
      </c>
      <c r="N1060" s="4">
        <v>46174</v>
      </c>
      <c r="O1060" s="3" t="str">
        <f t="shared" si="40"/>
        <v>Online</v>
      </c>
      <c r="P1060" s="11">
        <v>8999000</v>
      </c>
      <c r="Q1060" s="3">
        <v>5489900000</v>
      </c>
      <c r="R1060" s="3">
        <v>3517700000</v>
      </c>
      <c r="S1060" s="11">
        <v>13000000</v>
      </c>
    </row>
    <row r="1061" spans="1:19" x14ac:dyDescent="0.35">
      <c r="A1061" s="1" t="s">
        <v>48</v>
      </c>
      <c r="B1061" s="1" t="str">
        <f t="shared" si="41"/>
        <v>IDBI Bank</v>
      </c>
      <c r="C1061">
        <v>238</v>
      </c>
      <c r="D1061">
        <v>0</v>
      </c>
      <c r="E1061">
        <v>544</v>
      </c>
      <c r="F1061" s="2">
        <v>161251.63</v>
      </c>
      <c r="G1061" s="2">
        <v>161251.63</v>
      </c>
      <c r="H1061" s="2">
        <v>0</v>
      </c>
      <c r="I1061" s="2">
        <v>135125.63</v>
      </c>
      <c r="J1061" s="2">
        <v>26126</v>
      </c>
      <c r="K1061" s="3">
        <v>26126</v>
      </c>
      <c r="L1061" s="3">
        <v>0</v>
      </c>
      <c r="M1061" s="3">
        <v>0</v>
      </c>
      <c r="N1061" s="4">
        <v>46174</v>
      </c>
      <c r="O1061" s="3" t="str">
        <f t="shared" si="40"/>
        <v>Offline - Box Office</v>
      </c>
      <c r="P1061" s="11">
        <v>8999000</v>
      </c>
      <c r="Q1061" s="3">
        <v>5489900000</v>
      </c>
      <c r="R1061" s="3">
        <v>3517700000</v>
      </c>
      <c r="S1061" s="11">
        <v>13000000</v>
      </c>
    </row>
    <row r="1062" spans="1:19" x14ac:dyDescent="0.35">
      <c r="A1062" s="1" t="s">
        <v>37</v>
      </c>
      <c r="B1062" s="1" t="str">
        <f t="shared" si="41"/>
        <v>IDBI Bank</v>
      </c>
      <c r="C1062">
        <v>248</v>
      </c>
      <c r="D1062">
        <v>0</v>
      </c>
      <c r="E1062">
        <v>536</v>
      </c>
      <c r="F1062" s="2">
        <v>180679.57</v>
      </c>
      <c r="G1062" s="2">
        <v>154654.60999999999</v>
      </c>
      <c r="H1062" s="2">
        <v>5182</v>
      </c>
      <c r="I1062" s="2">
        <v>151899.57</v>
      </c>
      <c r="J1062" s="2">
        <v>28780</v>
      </c>
      <c r="K1062" s="3">
        <v>28780</v>
      </c>
      <c r="L1062" s="3">
        <v>0</v>
      </c>
      <c r="M1062" s="3">
        <v>20476.96</v>
      </c>
      <c r="N1062" s="4">
        <v>46174</v>
      </c>
      <c r="O1062" s="3" t="str">
        <f t="shared" si="40"/>
        <v>Online</v>
      </c>
      <c r="P1062" s="11">
        <v>8999000</v>
      </c>
      <c r="Q1062" s="3">
        <v>5489900000</v>
      </c>
      <c r="R1062" s="3">
        <v>3517700000</v>
      </c>
      <c r="S1062" s="11">
        <v>13000000</v>
      </c>
    </row>
    <row r="1063" spans="1:19" x14ac:dyDescent="0.35">
      <c r="A1063" s="1" t="s">
        <v>49</v>
      </c>
      <c r="B1063" s="1" t="str">
        <f t="shared" si="41"/>
        <v>IDBI Bank</v>
      </c>
      <c r="C1063">
        <v>407</v>
      </c>
      <c r="D1063">
        <v>0</v>
      </c>
      <c r="E1063">
        <v>1034</v>
      </c>
      <c r="F1063" s="2">
        <v>294355.07</v>
      </c>
      <c r="G1063" s="2">
        <v>0</v>
      </c>
      <c r="H1063" s="2">
        <v>294355.07</v>
      </c>
      <c r="I1063" s="2">
        <v>245442.07</v>
      </c>
      <c r="J1063" s="2">
        <v>48913</v>
      </c>
      <c r="K1063" s="3">
        <v>34239.1</v>
      </c>
      <c r="L1063" s="3">
        <v>14673.9</v>
      </c>
      <c r="M1063" s="3">
        <v>0</v>
      </c>
      <c r="N1063" s="4">
        <v>46174</v>
      </c>
      <c r="O1063" s="3" t="str">
        <f t="shared" si="40"/>
        <v>Offline - F&amp;B</v>
      </c>
      <c r="P1063" s="11">
        <v>8999000</v>
      </c>
      <c r="Q1063" s="3">
        <v>5489900000</v>
      </c>
      <c r="R1063" s="3">
        <v>3517700000</v>
      </c>
      <c r="S1063" s="11">
        <v>13000000</v>
      </c>
    </row>
    <row r="1064" spans="1:19" x14ac:dyDescent="0.35">
      <c r="A1064" s="1" t="s">
        <v>157</v>
      </c>
      <c r="B1064" s="1" t="str">
        <f t="shared" si="41"/>
        <v>IDBI Bank</v>
      </c>
      <c r="C1064">
        <v>30</v>
      </c>
      <c r="D1064">
        <v>0</v>
      </c>
      <c r="E1064">
        <v>89</v>
      </c>
      <c r="F1064" s="2">
        <v>26972.98</v>
      </c>
      <c r="G1064" s="2">
        <v>26972.98</v>
      </c>
      <c r="H1064" s="2">
        <v>0</v>
      </c>
      <c r="I1064" s="2">
        <v>21993.98</v>
      </c>
      <c r="J1064" s="2">
        <v>4979</v>
      </c>
      <c r="K1064" s="3">
        <v>3485.3</v>
      </c>
      <c r="L1064" s="3">
        <v>1493.7</v>
      </c>
      <c r="M1064" s="3">
        <v>0</v>
      </c>
      <c r="N1064" s="4">
        <v>46174</v>
      </c>
      <c r="O1064" s="3" t="str">
        <f t="shared" si="40"/>
        <v>Offline - Box Office</v>
      </c>
      <c r="P1064" s="11">
        <v>8999000</v>
      </c>
      <c r="Q1064" s="3">
        <v>5489900000</v>
      </c>
      <c r="R1064" s="3">
        <v>3517700000</v>
      </c>
      <c r="S1064" s="11">
        <v>13000000</v>
      </c>
    </row>
    <row r="1065" spans="1:19" x14ac:dyDescent="0.35">
      <c r="A1065" s="1" t="s">
        <v>158</v>
      </c>
      <c r="B1065" s="1" t="str">
        <f t="shared" si="41"/>
        <v>IDBI Bank</v>
      </c>
      <c r="C1065">
        <v>11</v>
      </c>
      <c r="D1065">
        <v>0</v>
      </c>
      <c r="E1065">
        <v>28</v>
      </c>
      <c r="F1065" s="2">
        <v>8998.5</v>
      </c>
      <c r="G1065" s="2">
        <v>7419.08</v>
      </c>
      <c r="H1065" s="2">
        <v>520</v>
      </c>
      <c r="I1065" s="2">
        <v>7410.5</v>
      </c>
      <c r="J1065" s="2">
        <v>1588</v>
      </c>
      <c r="K1065" s="3">
        <v>1111.5999999999999</v>
      </c>
      <c r="L1065" s="3">
        <v>476.4</v>
      </c>
      <c r="M1065" s="3">
        <v>1025.42</v>
      </c>
      <c r="N1065" s="4">
        <v>46174</v>
      </c>
      <c r="O1065" s="3" t="str">
        <f t="shared" si="40"/>
        <v>Online</v>
      </c>
      <c r="P1065" s="11">
        <v>8999000</v>
      </c>
      <c r="Q1065" s="3">
        <v>5489900000</v>
      </c>
      <c r="R1065" s="3">
        <v>3517700000</v>
      </c>
      <c r="S1065" s="11">
        <v>13000000</v>
      </c>
    </row>
    <row r="1066" spans="1:19" x14ac:dyDescent="0.35">
      <c r="A1066" s="1" t="s">
        <v>159</v>
      </c>
      <c r="B1066" s="1" t="str">
        <f t="shared" si="41"/>
        <v>IDBI Bank</v>
      </c>
      <c r="C1066">
        <v>74</v>
      </c>
      <c r="D1066">
        <v>0</v>
      </c>
      <c r="E1066">
        <v>209</v>
      </c>
      <c r="F1066" s="2">
        <v>67550.25</v>
      </c>
      <c r="G1066" s="2">
        <v>0</v>
      </c>
      <c r="H1066" s="2">
        <v>67550.25</v>
      </c>
      <c r="I1066" s="2">
        <v>55353.25</v>
      </c>
      <c r="J1066" s="2">
        <v>12197</v>
      </c>
      <c r="K1066" s="3">
        <v>8537.9</v>
      </c>
      <c r="L1066" s="3">
        <v>3659.1</v>
      </c>
      <c r="M1066" s="3">
        <v>0</v>
      </c>
      <c r="N1066" s="4">
        <v>46174</v>
      </c>
      <c r="O1066" s="3" t="str">
        <f t="shared" si="40"/>
        <v>Offline - F&amp;B</v>
      </c>
      <c r="P1066" s="11">
        <v>8999000</v>
      </c>
      <c r="Q1066" s="3">
        <v>5489900000</v>
      </c>
      <c r="R1066" s="3">
        <v>3517700000</v>
      </c>
      <c r="S1066" s="11">
        <v>13000000</v>
      </c>
    </row>
    <row r="1067" spans="1:19" x14ac:dyDescent="0.35">
      <c r="A1067" s="1" t="s">
        <v>160</v>
      </c>
      <c r="B1067" s="1" t="str">
        <f t="shared" si="41"/>
        <v>IDBI Bank</v>
      </c>
      <c r="C1067">
        <v>11</v>
      </c>
      <c r="D1067">
        <v>0</v>
      </c>
      <c r="E1067">
        <v>28</v>
      </c>
      <c r="F1067" s="2">
        <v>10049.18</v>
      </c>
      <c r="G1067" s="2">
        <v>7873</v>
      </c>
      <c r="H1067" s="2">
        <v>1030</v>
      </c>
      <c r="I1067" s="2">
        <v>8518.18</v>
      </c>
      <c r="J1067" s="2">
        <v>1531</v>
      </c>
      <c r="K1067" s="3">
        <v>1454.45</v>
      </c>
      <c r="L1067" s="3">
        <v>76.55</v>
      </c>
      <c r="M1067" s="3">
        <v>1122.18</v>
      </c>
      <c r="N1067" s="4">
        <v>46174</v>
      </c>
      <c r="O1067" s="3" t="str">
        <f t="shared" si="40"/>
        <v>Online</v>
      </c>
      <c r="P1067" s="11">
        <v>8999000</v>
      </c>
      <c r="Q1067" s="3">
        <v>5489900000</v>
      </c>
      <c r="R1067" s="3">
        <v>3517700000</v>
      </c>
      <c r="S1067" s="11">
        <v>13000000</v>
      </c>
    </row>
    <row r="1068" spans="1:19" x14ac:dyDescent="0.35">
      <c r="A1068" s="1" t="s">
        <v>161</v>
      </c>
      <c r="B1068" s="1" t="str">
        <f t="shared" si="41"/>
        <v>Punjab National Bank</v>
      </c>
      <c r="C1068">
        <v>33</v>
      </c>
      <c r="D1068">
        <v>0</v>
      </c>
      <c r="E1068">
        <v>57</v>
      </c>
      <c r="F1068" s="2">
        <v>27323.599999999999</v>
      </c>
      <c r="G1068" s="2">
        <v>24334</v>
      </c>
      <c r="H1068" s="2">
        <v>2720</v>
      </c>
      <c r="I1068" s="2">
        <v>22249.599999999999</v>
      </c>
      <c r="J1068" s="2">
        <v>5074</v>
      </c>
      <c r="K1068" s="3">
        <v>4312.8999999999996</v>
      </c>
      <c r="L1068" s="3">
        <v>761.1</v>
      </c>
      <c r="M1068" s="3">
        <v>259.60000000000002</v>
      </c>
      <c r="N1068" s="4">
        <v>46174</v>
      </c>
      <c r="O1068" s="3" t="str">
        <f t="shared" si="40"/>
        <v>Online</v>
      </c>
      <c r="P1068" s="11">
        <v>8999000</v>
      </c>
      <c r="Q1068" s="3">
        <v>5489900000</v>
      </c>
      <c r="R1068" s="3">
        <v>3517700000</v>
      </c>
      <c r="S1068" s="11">
        <v>13000000</v>
      </c>
    </row>
    <row r="1069" spans="1:19" x14ac:dyDescent="0.35">
      <c r="A1069" s="1" t="s">
        <v>162</v>
      </c>
      <c r="B1069" s="1" t="str">
        <f t="shared" si="41"/>
        <v>Punjab National Bank</v>
      </c>
      <c r="C1069">
        <v>258</v>
      </c>
      <c r="D1069">
        <v>0</v>
      </c>
      <c r="E1069">
        <v>696</v>
      </c>
      <c r="F1069" s="2">
        <v>228456</v>
      </c>
      <c r="G1069" s="2">
        <v>0</v>
      </c>
      <c r="H1069" s="2">
        <v>228456</v>
      </c>
      <c r="I1069" s="2">
        <v>184009</v>
      </c>
      <c r="J1069" s="2">
        <v>44447</v>
      </c>
      <c r="K1069" s="3">
        <v>37779.949999999997</v>
      </c>
      <c r="L1069" s="3">
        <v>6667.05</v>
      </c>
      <c r="M1069" s="3">
        <v>0</v>
      </c>
      <c r="N1069" s="4">
        <v>46174</v>
      </c>
      <c r="O1069" s="3" t="str">
        <f t="shared" si="40"/>
        <v>Offline - F&amp;B</v>
      </c>
      <c r="P1069" s="11">
        <v>8999000</v>
      </c>
      <c r="Q1069" s="3">
        <v>5489900000</v>
      </c>
      <c r="R1069" s="3">
        <v>3517700000</v>
      </c>
      <c r="S1069" s="11">
        <v>13000000</v>
      </c>
    </row>
    <row r="1070" spans="1:19" x14ac:dyDescent="0.35">
      <c r="A1070" s="1" t="s">
        <v>52</v>
      </c>
      <c r="B1070" s="1" t="str">
        <f t="shared" si="41"/>
        <v>Kotak Mahindra Bank</v>
      </c>
      <c r="C1070">
        <v>54</v>
      </c>
      <c r="D1070">
        <v>54</v>
      </c>
      <c r="E1070">
        <v>126</v>
      </c>
      <c r="F1070" s="2">
        <v>132803.74</v>
      </c>
      <c r="G1070" s="2">
        <v>123651</v>
      </c>
      <c r="H1070" s="2">
        <v>0</v>
      </c>
      <c r="I1070" s="2">
        <v>93647.74</v>
      </c>
      <c r="J1070" s="2">
        <v>39156</v>
      </c>
      <c r="K1070" s="3">
        <v>39156</v>
      </c>
      <c r="L1070" s="3">
        <v>0</v>
      </c>
      <c r="M1070" s="3">
        <v>8982.74</v>
      </c>
      <c r="N1070" s="4">
        <v>46174</v>
      </c>
      <c r="O1070" s="3" t="str">
        <f t="shared" si="40"/>
        <v>Online</v>
      </c>
      <c r="P1070" s="11">
        <v>8999000</v>
      </c>
      <c r="Q1070" s="3">
        <v>5489900000</v>
      </c>
      <c r="R1070" s="3">
        <v>3517700000</v>
      </c>
      <c r="S1070" s="11">
        <v>13000000</v>
      </c>
    </row>
    <row r="1071" spans="1:19" x14ac:dyDescent="0.35">
      <c r="A1071" s="1" t="s">
        <v>134</v>
      </c>
      <c r="B1071" s="1" t="str">
        <f t="shared" si="41"/>
        <v>Kotak Mahindra Bank</v>
      </c>
      <c r="C1071">
        <v>447</v>
      </c>
      <c r="D1071">
        <v>447</v>
      </c>
      <c r="E1071">
        <v>1039</v>
      </c>
      <c r="F1071" s="2">
        <v>317350.71999999997</v>
      </c>
      <c r="G1071" s="2">
        <v>274478.18</v>
      </c>
      <c r="H1071" s="2">
        <v>1652</v>
      </c>
      <c r="I1071" s="2">
        <v>219221.67</v>
      </c>
      <c r="J1071" s="2">
        <v>98129.05</v>
      </c>
      <c r="K1071" s="3">
        <v>98129.05</v>
      </c>
      <c r="L1071" s="3">
        <v>0</v>
      </c>
      <c r="M1071" s="3">
        <v>40250.54</v>
      </c>
      <c r="N1071" s="4">
        <v>46174</v>
      </c>
      <c r="O1071" s="3" t="str">
        <f t="shared" si="40"/>
        <v>Online</v>
      </c>
      <c r="P1071" s="11">
        <v>8999000</v>
      </c>
      <c r="Q1071" s="3">
        <v>5489900000</v>
      </c>
      <c r="R1071" s="3">
        <v>3517700000</v>
      </c>
      <c r="S1071" s="11">
        <v>13000000</v>
      </c>
    </row>
    <row r="1072" spans="1:19" x14ac:dyDescent="0.35">
      <c r="A1072" s="1" t="s">
        <v>153</v>
      </c>
      <c r="B1072" s="1" t="str">
        <f t="shared" si="41"/>
        <v>Kotak Mahindra Bank</v>
      </c>
      <c r="C1072">
        <v>196</v>
      </c>
      <c r="D1072">
        <v>196</v>
      </c>
      <c r="E1072">
        <v>416</v>
      </c>
      <c r="F1072" s="2">
        <v>322194.15999999997</v>
      </c>
      <c r="G1072" s="2">
        <v>293628</v>
      </c>
      <c r="H1072" s="2">
        <v>0</v>
      </c>
      <c r="I1072" s="2">
        <v>197282.16</v>
      </c>
      <c r="J1072" s="2">
        <v>124912</v>
      </c>
      <c r="K1072" s="3">
        <v>124912</v>
      </c>
      <c r="L1072" s="3">
        <v>0</v>
      </c>
      <c r="M1072" s="3">
        <v>28168.16</v>
      </c>
      <c r="N1072" s="4">
        <v>46174</v>
      </c>
      <c r="O1072" s="3" t="str">
        <f t="shared" si="40"/>
        <v>Online</v>
      </c>
      <c r="P1072" s="11">
        <v>8999000</v>
      </c>
      <c r="Q1072" s="3">
        <v>5489900000</v>
      </c>
      <c r="R1072" s="3">
        <v>3517700000</v>
      </c>
      <c r="S1072" s="11">
        <v>13000000</v>
      </c>
    </row>
    <row r="1073" spans="1:19" x14ac:dyDescent="0.35">
      <c r="A1073" s="1" t="s">
        <v>38</v>
      </c>
      <c r="B1073" s="1" t="str">
        <f t="shared" si="41"/>
        <v>Kotak Mahindra Bank</v>
      </c>
      <c r="C1073">
        <v>24546</v>
      </c>
      <c r="D1073">
        <v>0</v>
      </c>
      <c r="E1073">
        <v>57290</v>
      </c>
      <c r="F1073" s="2">
        <v>16652554.710000001</v>
      </c>
      <c r="G1073" s="2">
        <v>734659.43</v>
      </c>
      <c r="H1073" s="2">
        <v>15907676.220000001</v>
      </c>
      <c r="I1073" s="2">
        <v>13337506.710000001</v>
      </c>
      <c r="J1073" s="2">
        <v>3315048</v>
      </c>
      <c r="K1073" s="3">
        <v>0</v>
      </c>
      <c r="L1073" s="3">
        <v>3315048</v>
      </c>
      <c r="M1073" s="3">
        <v>9909.06</v>
      </c>
      <c r="N1073" s="4">
        <v>46174</v>
      </c>
      <c r="O1073" s="3" t="str">
        <f t="shared" si="40"/>
        <v>Other</v>
      </c>
      <c r="P1073" s="11">
        <v>8999000</v>
      </c>
      <c r="Q1073" s="3">
        <v>5489900000</v>
      </c>
      <c r="R1073" s="3">
        <v>3517700000</v>
      </c>
      <c r="S1073" s="11">
        <v>13000000</v>
      </c>
    </row>
    <row r="1074" spans="1:19" x14ac:dyDescent="0.35">
      <c r="A1074" s="1" t="s">
        <v>58</v>
      </c>
      <c r="B1074" s="1" t="str">
        <f t="shared" si="41"/>
        <v>Kotak Mahindra Bank</v>
      </c>
      <c r="C1074">
        <v>4903</v>
      </c>
      <c r="D1074">
        <v>0</v>
      </c>
      <c r="E1074">
        <v>10989</v>
      </c>
      <c r="F1074" s="2">
        <v>3489583.14</v>
      </c>
      <c r="G1074" s="2">
        <v>3326752.06</v>
      </c>
      <c r="H1074" s="2">
        <v>4540</v>
      </c>
      <c r="I1074" s="2">
        <v>3368135.05</v>
      </c>
      <c r="J1074" s="2">
        <v>121448</v>
      </c>
      <c r="K1074" s="3">
        <v>0</v>
      </c>
      <c r="L1074" s="3">
        <v>121448</v>
      </c>
      <c r="M1074" s="3">
        <v>155855.07999999999</v>
      </c>
      <c r="N1074" s="4">
        <v>46174</v>
      </c>
      <c r="O1074" s="3" t="str">
        <f t="shared" si="40"/>
        <v>Other</v>
      </c>
      <c r="P1074" s="11">
        <v>8999000</v>
      </c>
      <c r="Q1074" s="3">
        <v>5489900000</v>
      </c>
      <c r="R1074" s="3">
        <v>3517700000</v>
      </c>
      <c r="S1074" s="11">
        <v>13000000</v>
      </c>
    </row>
    <row r="1075" spans="1:19" x14ac:dyDescent="0.35">
      <c r="A1075" s="1" t="s">
        <v>135</v>
      </c>
      <c r="B1075" s="1" t="str">
        <f t="shared" si="41"/>
        <v>Kotak Mahindra Bank</v>
      </c>
      <c r="C1075">
        <v>335</v>
      </c>
      <c r="D1075">
        <v>335</v>
      </c>
      <c r="E1075">
        <v>758</v>
      </c>
      <c r="F1075" s="2">
        <v>720234.94</v>
      </c>
      <c r="G1075" s="2">
        <v>664548</v>
      </c>
      <c r="H1075" s="2">
        <v>1894</v>
      </c>
      <c r="I1075" s="2">
        <v>431387.94</v>
      </c>
      <c r="J1075" s="2">
        <v>288847</v>
      </c>
      <c r="K1075" s="3">
        <v>288847</v>
      </c>
      <c r="L1075" s="3">
        <v>0</v>
      </c>
      <c r="M1075" s="3">
        <v>52774.94</v>
      </c>
      <c r="N1075" s="4">
        <v>46174</v>
      </c>
      <c r="O1075" s="3" t="str">
        <f t="shared" si="40"/>
        <v>Online</v>
      </c>
      <c r="P1075" s="11">
        <v>8999000</v>
      </c>
      <c r="Q1075" s="3">
        <v>5489900000</v>
      </c>
      <c r="R1075" s="3">
        <v>3517700000</v>
      </c>
      <c r="S1075" s="11">
        <v>13000000</v>
      </c>
    </row>
    <row r="1076" spans="1:19" x14ac:dyDescent="0.35">
      <c r="A1076" s="1" t="s">
        <v>147</v>
      </c>
      <c r="B1076" s="1" t="str">
        <f t="shared" si="41"/>
        <v>OneCard</v>
      </c>
      <c r="C1076">
        <v>2493</v>
      </c>
      <c r="D1076">
        <v>0</v>
      </c>
      <c r="E1076">
        <v>5883</v>
      </c>
      <c r="F1076" s="2">
        <v>2074518.83</v>
      </c>
      <c r="G1076" s="2">
        <v>1785232.65</v>
      </c>
      <c r="H1076" s="2">
        <v>33334</v>
      </c>
      <c r="I1076" s="2">
        <v>1717101.83</v>
      </c>
      <c r="J1076" s="2">
        <v>357417</v>
      </c>
      <c r="K1076" s="3">
        <v>321675.3</v>
      </c>
      <c r="L1076" s="3">
        <v>35741.699999999997</v>
      </c>
      <c r="M1076" s="3">
        <v>250798.18</v>
      </c>
      <c r="N1076" s="4">
        <v>46174</v>
      </c>
      <c r="O1076" s="3" t="str">
        <f t="shared" si="40"/>
        <v>Online</v>
      </c>
      <c r="P1076" s="11">
        <v>8999000</v>
      </c>
      <c r="Q1076" s="3">
        <v>5489900000</v>
      </c>
      <c r="R1076" s="3">
        <v>3517700000</v>
      </c>
      <c r="S1076" s="11">
        <v>13000000</v>
      </c>
    </row>
    <row r="1077" spans="1:19" x14ac:dyDescent="0.35">
      <c r="A1077" s="1" t="s">
        <v>163</v>
      </c>
      <c r="B1077" s="1" t="str">
        <f t="shared" si="41"/>
        <v>Punjab National Bank</v>
      </c>
      <c r="C1077">
        <v>118</v>
      </c>
      <c r="D1077">
        <v>118</v>
      </c>
      <c r="E1077">
        <v>330</v>
      </c>
      <c r="F1077" s="2">
        <v>93155.24</v>
      </c>
      <c r="G1077" s="2">
        <v>93155.24</v>
      </c>
      <c r="H1077" s="2">
        <v>0</v>
      </c>
      <c r="I1077" s="2">
        <v>60050.879999999997</v>
      </c>
      <c r="J1077" s="2">
        <v>33104.36</v>
      </c>
      <c r="K1077" s="3">
        <v>33104.36</v>
      </c>
      <c r="L1077" s="3">
        <v>0</v>
      </c>
      <c r="M1077" s="3">
        <v>0</v>
      </c>
      <c r="N1077" s="4">
        <v>46174</v>
      </c>
      <c r="O1077" s="3" t="str">
        <f t="shared" si="40"/>
        <v>Offline - Box Office</v>
      </c>
      <c r="P1077" s="11">
        <v>8999000</v>
      </c>
      <c r="Q1077" s="3">
        <v>5489900000</v>
      </c>
      <c r="R1077" s="3">
        <v>3517700000</v>
      </c>
      <c r="S1077" s="11">
        <v>13000000</v>
      </c>
    </row>
    <row r="1078" spans="1:19" x14ac:dyDescent="0.35">
      <c r="A1078" s="1" t="s">
        <v>164</v>
      </c>
      <c r="B1078" s="1" t="str">
        <f t="shared" si="41"/>
        <v>Punjab National Bank</v>
      </c>
      <c r="C1078">
        <v>266</v>
      </c>
      <c r="D1078">
        <v>266</v>
      </c>
      <c r="E1078">
        <v>641</v>
      </c>
      <c r="F1078" s="2">
        <v>241013.66</v>
      </c>
      <c r="G1078" s="2">
        <v>207248.48</v>
      </c>
      <c r="H1078" s="2">
        <v>1595</v>
      </c>
      <c r="I1078" s="2">
        <v>156507.65</v>
      </c>
      <c r="J1078" s="2">
        <v>84506.01</v>
      </c>
      <c r="K1078" s="3">
        <v>84506.01</v>
      </c>
      <c r="L1078" s="3">
        <v>0</v>
      </c>
      <c r="M1078" s="3">
        <v>31550.18</v>
      </c>
      <c r="N1078" s="4">
        <v>46174</v>
      </c>
      <c r="O1078" s="3" t="str">
        <f t="shared" si="40"/>
        <v>Online</v>
      </c>
      <c r="P1078" s="11">
        <v>8999000</v>
      </c>
      <c r="Q1078" s="3">
        <v>5489900000</v>
      </c>
      <c r="R1078" s="3">
        <v>3517700000</v>
      </c>
      <c r="S1078" s="11">
        <v>13000000</v>
      </c>
    </row>
    <row r="1079" spans="1:19" x14ac:dyDescent="0.35">
      <c r="A1079" s="1" t="s">
        <v>156</v>
      </c>
      <c r="B1079" s="1" t="str">
        <f t="shared" si="41"/>
        <v>State Bank of India</v>
      </c>
      <c r="C1079">
        <v>2237</v>
      </c>
      <c r="D1079">
        <v>2237</v>
      </c>
      <c r="E1079">
        <v>6003</v>
      </c>
      <c r="F1079" s="2">
        <v>1539420.71</v>
      </c>
      <c r="G1079" s="2">
        <v>1539548.83</v>
      </c>
      <c r="H1079" s="2">
        <v>0</v>
      </c>
      <c r="I1079" s="2">
        <v>1067136.3799999999</v>
      </c>
      <c r="J1079" s="2">
        <v>472284.33</v>
      </c>
      <c r="K1079" s="3">
        <v>472284.33</v>
      </c>
      <c r="L1079" s="3">
        <v>0</v>
      </c>
      <c r="M1079" s="3">
        <v>0</v>
      </c>
      <c r="N1079" s="4">
        <v>46174</v>
      </c>
      <c r="O1079" s="3" t="str">
        <f t="shared" si="40"/>
        <v>Offline - Box Office</v>
      </c>
      <c r="P1079" s="11">
        <v>8999000</v>
      </c>
      <c r="Q1079" s="3">
        <v>5489900000</v>
      </c>
      <c r="R1079" s="3">
        <v>3517700000</v>
      </c>
      <c r="S1079" s="11">
        <v>13000000</v>
      </c>
    </row>
    <row r="1080" spans="1:19" x14ac:dyDescent="0.35">
      <c r="A1080" s="1" t="s">
        <v>40</v>
      </c>
      <c r="B1080" s="1" t="str">
        <f t="shared" si="41"/>
        <v>Standard Chartered Bank</v>
      </c>
      <c r="C1080">
        <v>12</v>
      </c>
      <c r="D1080">
        <v>12</v>
      </c>
      <c r="E1080">
        <v>25</v>
      </c>
      <c r="F1080" s="2">
        <v>7648.58</v>
      </c>
      <c r="G1080" s="2">
        <v>7648.58</v>
      </c>
      <c r="H1080" s="2">
        <v>0</v>
      </c>
      <c r="I1080" s="2">
        <v>5264.78</v>
      </c>
      <c r="J1080" s="2">
        <v>2383.8000000000002</v>
      </c>
      <c r="K1080" s="3">
        <v>2383.8000000000002</v>
      </c>
      <c r="L1080" s="3">
        <v>0</v>
      </c>
      <c r="M1080" s="3">
        <v>0</v>
      </c>
      <c r="N1080" s="4">
        <v>46174</v>
      </c>
      <c r="O1080" s="3" t="str">
        <f t="shared" si="40"/>
        <v>Offline - Box Office</v>
      </c>
      <c r="P1080" s="11">
        <v>8999000</v>
      </c>
      <c r="Q1080" s="3">
        <v>5489900000</v>
      </c>
      <c r="R1080" s="3">
        <v>3517700000</v>
      </c>
      <c r="S1080" s="11">
        <v>13000000</v>
      </c>
    </row>
    <row r="1081" spans="1:19" x14ac:dyDescent="0.35">
      <c r="A1081" s="1" t="s">
        <v>41</v>
      </c>
      <c r="B1081" s="1" t="str">
        <f t="shared" si="41"/>
        <v>Standard Chartered Bank</v>
      </c>
      <c r="C1081">
        <v>46</v>
      </c>
      <c r="D1081">
        <v>46</v>
      </c>
      <c r="E1081">
        <v>99</v>
      </c>
      <c r="F1081" s="2">
        <v>28922.66</v>
      </c>
      <c r="G1081" s="2">
        <v>24987.96</v>
      </c>
      <c r="H1081" s="2">
        <v>0</v>
      </c>
      <c r="I1081" s="2">
        <v>20034.060000000001</v>
      </c>
      <c r="J1081" s="2">
        <v>8888.6</v>
      </c>
      <c r="K1081" s="3">
        <v>8888.6</v>
      </c>
      <c r="L1081" s="3">
        <v>0</v>
      </c>
      <c r="M1081" s="3">
        <v>3854.7</v>
      </c>
      <c r="N1081" s="4">
        <v>46174</v>
      </c>
      <c r="O1081" s="3" t="str">
        <f t="shared" si="40"/>
        <v>Online</v>
      </c>
      <c r="P1081" s="11">
        <v>8999000</v>
      </c>
      <c r="Q1081" s="3">
        <v>5489900000</v>
      </c>
      <c r="R1081" s="3">
        <v>3517700000</v>
      </c>
      <c r="S1081" s="11">
        <v>13000000</v>
      </c>
    </row>
    <row r="1082" spans="1:19" x14ac:dyDescent="0.35">
      <c r="A1082" s="1" t="s">
        <v>125</v>
      </c>
      <c r="B1082" s="1" t="str">
        <f t="shared" si="41"/>
        <v>HDFC Bank</v>
      </c>
      <c r="C1082">
        <v>6497</v>
      </c>
      <c r="D1082">
        <v>0</v>
      </c>
      <c r="E1082">
        <v>35391</v>
      </c>
      <c r="F1082" s="2">
        <v>13772155.300000001</v>
      </c>
      <c r="G1082" s="2">
        <v>4597761.7300000004</v>
      </c>
      <c r="H1082" s="2">
        <v>9047217.5500000007</v>
      </c>
      <c r="I1082" s="2">
        <v>13181804.300000001</v>
      </c>
      <c r="J1082" s="2">
        <v>590351</v>
      </c>
      <c r="K1082" s="3">
        <v>0</v>
      </c>
      <c r="L1082" s="3">
        <v>590351</v>
      </c>
      <c r="M1082" s="3">
        <v>125575</v>
      </c>
      <c r="N1082" s="4">
        <v>46174</v>
      </c>
      <c r="O1082" s="3" t="str">
        <f t="shared" si="40"/>
        <v>Other</v>
      </c>
      <c r="P1082" s="11">
        <v>8999000</v>
      </c>
      <c r="Q1082" s="3">
        <v>5489900000</v>
      </c>
      <c r="R1082" s="3">
        <v>3517700000</v>
      </c>
      <c r="S1082" s="11">
        <v>13000000</v>
      </c>
    </row>
    <row r="1083" spans="1:19" x14ac:dyDescent="0.35">
      <c r="A1083" s="1" t="s">
        <v>165</v>
      </c>
      <c r="B1083" s="1" t="str">
        <f t="shared" si="41"/>
        <v>Axis Bank</v>
      </c>
      <c r="C1083">
        <v>153</v>
      </c>
      <c r="D1083">
        <v>0</v>
      </c>
      <c r="E1083">
        <v>342</v>
      </c>
      <c r="F1083" s="2">
        <v>137996.26999999999</v>
      </c>
      <c r="G1083" s="2">
        <v>120812.33</v>
      </c>
      <c r="H1083" s="2">
        <v>910</v>
      </c>
      <c r="I1083" s="2">
        <v>103310.27</v>
      </c>
      <c r="J1083" s="2">
        <v>34686</v>
      </c>
      <c r="K1083" s="12">
        <v>20811.599999999999</v>
      </c>
      <c r="L1083" s="12">
        <v>13874.4</v>
      </c>
      <c r="M1083" s="12">
        <v>15905.94</v>
      </c>
      <c r="N1083" s="4">
        <v>46204</v>
      </c>
      <c r="O1083" s="12" t="str">
        <f t="shared" si="40"/>
        <v>Online</v>
      </c>
      <c r="P1083">
        <v>5959038</v>
      </c>
      <c r="Q1083" s="12">
        <v>4062990453.8299999</v>
      </c>
      <c r="R1083" s="12">
        <v>4062990453.8299999</v>
      </c>
      <c r="S1083">
        <v>13243647</v>
      </c>
    </row>
    <row r="1084" spans="1:19" x14ac:dyDescent="0.35">
      <c r="A1084" s="1" t="s">
        <v>166</v>
      </c>
      <c r="B1084" s="1" t="str">
        <f t="shared" si="41"/>
        <v>American Express</v>
      </c>
      <c r="C1084">
        <v>348</v>
      </c>
      <c r="D1084">
        <v>348</v>
      </c>
      <c r="E1084">
        <v>921</v>
      </c>
      <c r="F1084" s="2">
        <v>579398.07999999996</v>
      </c>
      <c r="G1084" s="2">
        <v>579398.07999999996</v>
      </c>
      <c r="H1084" s="2">
        <v>0</v>
      </c>
      <c r="I1084" s="2">
        <v>433918.63</v>
      </c>
      <c r="J1084" s="2">
        <v>145479.45000000001</v>
      </c>
      <c r="K1084" s="12">
        <v>72739.740000000005</v>
      </c>
      <c r="L1084" s="12">
        <v>72739.740000000005</v>
      </c>
      <c r="M1084" s="12">
        <v>0</v>
      </c>
      <c r="N1084" s="4">
        <v>46204</v>
      </c>
      <c r="O1084" s="12" t="str">
        <f t="shared" si="40"/>
        <v>Offline - Box Office</v>
      </c>
      <c r="P1084">
        <v>5959038</v>
      </c>
      <c r="Q1084" s="12">
        <v>4062990453.8299999</v>
      </c>
      <c r="R1084" s="12">
        <v>4062990453.8299999</v>
      </c>
      <c r="S1084">
        <v>13243647</v>
      </c>
    </row>
    <row r="1085" spans="1:19" x14ac:dyDescent="0.35">
      <c r="A1085" s="1" t="s">
        <v>167</v>
      </c>
      <c r="B1085" s="1" t="str">
        <f t="shared" si="41"/>
        <v>American Express</v>
      </c>
      <c r="C1085">
        <v>2618</v>
      </c>
      <c r="D1085">
        <v>2618</v>
      </c>
      <c r="E1085">
        <v>6786</v>
      </c>
      <c r="F1085" s="2">
        <v>5425534.46</v>
      </c>
      <c r="G1085" s="2">
        <v>4952961.2</v>
      </c>
      <c r="H1085" s="2">
        <v>30216</v>
      </c>
      <c r="I1085" s="2">
        <v>4270229.66</v>
      </c>
      <c r="J1085" s="2">
        <v>1155304.8</v>
      </c>
      <c r="K1085" s="12">
        <v>577652.56999999995</v>
      </c>
      <c r="L1085" s="12">
        <v>577652.56999999995</v>
      </c>
      <c r="M1085" s="12">
        <v>433859.56</v>
      </c>
      <c r="N1085" s="4">
        <v>46204</v>
      </c>
      <c r="O1085" s="12" t="str">
        <f t="shared" si="40"/>
        <v>Online</v>
      </c>
      <c r="P1085">
        <v>5959038</v>
      </c>
      <c r="Q1085" s="12">
        <v>4062990453.8299999</v>
      </c>
      <c r="R1085" s="12">
        <v>4062990453.8299999</v>
      </c>
      <c r="S1085">
        <v>13243647</v>
      </c>
    </row>
    <row r="1086" spans="1:19" x14ac:dyDescent="0.35">
      <c r="A1086" s="1" t="s">
        <v>168</v>
      </c>
      <c r="B1086" s="1" t="str">
        <f t="shared" si="41"/>
        <v>Axis Bank</v>
      </c>
      <c r="C1086">
        <v>28</v>
      </c>
      <c r="D1086">
        <v>28</v>
      </c>
      <c r="E1086">
        <v>80</v>
      </c>
      <c r="F1086" s="2">
        <v>29875.200000000001</v>
      </c>
      <c r="G1086" s="2">
        <v>29875.200000000001</v>
      </c>
      <c r="H1086" s="2">
        <v>0</v>
      </c>
      <c r="I1086" s="2">
        <v>24472.2</v>
      </c>
      <c r="J1086" s="2">
        <v>5403</v>
      </c>
      <c r="K1086" s="12">
        <v>4754.62</v>
      </c>
      <c r="L1086" s="12">
        <v>648.38</v>
      </c>
      <c r="M1086" s="12">
        <v>0</v>
      </c>
      <c r="N1086" s="4">
        <v>46204</v>
      </c>
      <c r="O1086" s="12" t="str">
        <f t="shared" si="40"/>
        <v>Offline - Box Office</v>
      </c>
      <c r="P1086">
        <v>5959038</v>
      </c>
      <c r="Q1086" s="12">
        <v>4062990453.8299999</v>
      </c>
      <c r="R1086" s="12">
        <v>4062990453.8299999</v>
      </c>
      <c r="S1086">
        <v>13243647</v>
      </c>
    </row>
    <row r="1087" spans="1:19" x14ac:dyDescent="0.35">
      <c r="A1087" s="1" t="s">
        <v>169</v>
      </c>
      <c r="B1087" s="1" t="str">
        <f t="shared" si="41"/>
        <v>Axis Bank</v>
      </c>
      <c r="C1087">
        <v>45</v>
      </c>
      <c r="D1087">
        <v>45</v>
      </c>
      <c r="E1087">
        <v>108</v>
      </c>
      <c r="F1087" s="2">
        <v>48281.42</v>
      </c>
      <c r="G1087" s="2">
        <v>42315.6</v>
      </c>
      <c r="H1087" s="2">
        <v>840</v>
      </c>
      <c r="I1087" s="2">
        <v>39584.42</v>
      </c>
      <c r="J1087" s="2">
        <v>8697</v>
      </c>
      <c r="K1087" s="12">
        <v>7392.45</v>
      </c>
      <c r="L1087" s="12">
        <v>1304.55</v>
      </c>
      <c r="M1087" s="12">
        <v>5055.82</v>
      </c>
      <c r="N1087" s="4">
        <v>46204</v>
      </c>
      <c r="O1087" s="12" t="str">
        <f t="shared" si="40"/>
        <v>Online</v>
      </c>
      <c r="P1087">
        <v>5959038</v>
      </c>
      <c r="Q1087" s="12">
        <v>4062990453.8299999</v>
      </c>
      <c r="R1087" s="12">
        <v>4062990453.8299999</v>
      </c>
      <c r="S1087">
        <v>13243647</v>
      </c>
    </row>
    <row r="1088" spans="1:19" x14ac:dyDescent="0.35">
      <c r="A1088" s="1" t="s">
        <v>170</v>
      </c>
      <c r="B1088" s="1" t="str">
        <f t="shared" si="41"/>
        <v>Axis Bank</v>
      </c>
      <c r="C1088">
        <v>257</v>
      </c>
      <c r="D1088">
        <v>257</v>
      </c>
      <c r="E1088">
        <v>662</v>
      </c>
      <c r="F1088" s="2">
        <v>187000.95</v>
      </c>
      <c r="G1088" s="2">
        <v>187000.95</v>
      </c>
      <c r="H1088" s="2">
        <v>0</v>
      </c>
      <c r="I1088" s="2">
        <v>137581.76999999999</v>
      </c>
      <c r="J1088" s="2">
        <v>49419.18</v>
      </c>
      <c r="K1088" s="12">
        <v>43488.76</v>
      </c>
      <c r="L1088" s="12">
        <v>5930.42</v>
      </c>
      <c r="M1088" s="12">
        <v>0</v>
      </c>
      <c r="N1088" s="4">
        <v>46204</v>
      </c>
      <c r="O1088" s="12" t="str">
        <f t="shared" si="40"/>
        <v>Offline - Box Office</v>
      </c>
      <c r="P1088">
        <v>5959038</v>
      </c>
      <c r="Q1088" s="12">
        <v>4062990453.8299999</v>
      </c>
      <c r="R1088" s="12">
        <v>4062990453.8299999</v>
      </c>
      <c r="S1088">
        <v>13243647</v>
      </c>
    </row>
    <row r="1089" spans="1:19" x14ac:dyDescent="0.35">
      <c r="A1089" s="1" t="s">
        <v>171</v>
      </c>
      <c r="B1089" s="1" t="str">
        <f t="shared" si="41"/>
        <v>Axis Bank</v>
      </c>
      <c r="C1089">
        <v>1673</v>
      </c>
      <c r="D1089">
        <v>1673</v>
      </c>
      <c r="E1089">
        <v>3841</v>
      </c>
      <c r="F1089" s="2">
        <v>1272893.1599999999</v>
      </c>
      <c r="G1089" s="2">
        <v>1104562.18</v>
      </c>
      <c r="H1089" s="2">
        <v>5914</v>
      </c>
      <c r="I1089" s="2">
        <v>953931.57</v>
      </c>
      <c r="J1089" s="2">
        <v>318961.59000000003</v>
      </c>
      <c r="K1089" s="12">
        <v>271117.37</v>
      </c>
      <c r="L1089" s="12">
        <v>47844.22</v>
      </c>
      <c r="M1089" s="12">
        <v>159210.98000000001</v>
      </c>
      <c r="N1089" s="4">
        <v>46204</v>
      </c>
      <c r="O1089" s="12" t="str">
        <f t="shared" si="40"/>
        <v>Online</v>
      </c>
      <c r="P1089">
        <v>5959038</v>
      </c>
      <c r="Q1089" s="12">
        <v>4062990453.8299999</v>
      </c>
      <c r="R1089" s="12">
        <v>4062990453.8299999</v>
      </c>
      <c r="S1089">
        <v>13243647</v>
      </c>
    </row>
    <row r="1090" spans="1:19" x14ac:dyDescent="0.35">
      <c r="A1090" s="1" t="s">
        <v>172</v>
      </c>
      <c r="B1090" s="1" t="str">
        <f t="shared" si="41"/>
        <v>Kotak Mahindra Bank</v>
      </c>
      <c r="C1090">
        <v>208</v>
      </c>
      <c r="D1090">
        <v>208</v>
      </c>
      <c r="E1090">
        <v>520</v>
      </c>
      <c r="F1090" s="2">
        <v>224912.98</v>
      </c>
      <c r="G1090" s="2">
        <v>196402.7</v>
      </c>
      <c r="H1090" s="2">
        <v>2125</v>
      </c>
      <c r="I1090" s="2">
        <v>177250.9</v>
      </c>
      <c r="J1090" s="2">
        <v>47662.080000000002</v>
      </c>
      <c r="K1090" s="12">
        <v>47662.080000000002</v>
      </c>
      <c r="L1090" s="12">
        <v>0</v>
      </c>
      <c r="M1090" s="12">
        <v>25799.279999999999</v>
      </c>
      <c r="N1090" s="4">
        <v>46204</v>
      </c>
      <c r="O1090" s="12" t="str">
        <f t="shared" ref="O1090:O1153" si="42">IF(ISNUMBER(SEARCH("Box Office",A1090)),"Offline - Box Office",
IF(ISNUMBER(SEARCH("Digital Platforms",A1090)),"Online",
IF(ISNUMBER(SEARCH("Refuel",A1090)),"Offline - F&amp;B",
IF(ISNUMBER(SEARCH("Food &amp; Beverages",A1090)),"Offline - F&amp;B",
IF(ISNUMBER(SEARCH("F&amp;B",A1090)),"Offline - F&amp;B",
IF(ISNUMBER(SEARCH("Kiosk",A1090)),"Offline - Box Office",
IF(ISNUMBER(SEARCH("Cinema",A1090)),"Offline - Box Office",
"Other")))))))</f>
        <v>Online</v>
      </c>
      <c r="P1090">
        <v>5959038</v>
      </c>
      <c r="Q1090" s="12">
        <v>4062990453.8299999</v>
      </c>
      <c r="R1090" s="12">
        <v>4062990453.8299999</v>
      </c>
      <c r="S1090">
        <v>13243647</v>
      </c>
    </row>
    <row r="1091" spans="1:19" x14ac:dyDescent="0.35">
      <c r="A1091" s="1" t="s">
        <v>173</v>
      </c>
      <c r="B1091" s="1" t="str">
        <f t="shared" si="41"/>
        <v>Kotak Mahindra Bank</v>
      </c>
      <c r="C1091">
        <v>122</v>
      </c>
      <c r="D1091">
        <v>122</v>
      </c>
      <c r="E1091">
        <v>278</v>
      </c>
      <c r="F1091" s="2">
        <v>187244.6</v>
      </c>
      <c r="G1091" s="2">
        <v>168060.38</v>
      </c>
      <c r="H1091" s="2">
        <v>1505</v>
      </c>
      <c r="I1091" s="2">
        <v>133156.31</v>
      </c>
      <c r="J1091" s="2">
        <v>54088.29</v>
      </c>
      <c r="K1091" s="12">
        <v>54088.29</v>
      </c>
      <c r="L1091" s="12">
        <v>0</v>
      </c>
      <c r="M1091" s="12">
        <v>17359.22</v>
      </c>
      <c r="N1091" s="4">
        <v>46204</v>
      </c>
      <c r="O1091" s="12" t="str">
        <f t="shared" si="42"/>
        <v>Online</v>
      </c>
      <c r="P1091">
        <v>5959038</v>
      </c>
      <c r="Q1091" s="12">
        <v>4062990453.8299999</v>
      </c>
      <c r="R1091" s="12">
        <v>4062990453.8299999</v>
      </c>
      <c r="S1091">
        <v>13243647</v>
      </c>
    </row>
    <row r="1092" spans="1:19" x14ac:dyDescent="0.35">
      <c r="A1092" s="1" t="s">
        <v>174</v>
      </c>
      <c r="B1092" s="1" t="str">
        <f t="shared" si="41"/>
        <v>Federal Bank</v>
      </c>
      <c r="C1092">
        <v>81</v>
      </c>
      <c r="D1092">
        <v>81</v>
      </c>
      <c r="E1092">
        <v>230</v>
      </c>
      <c r="F1092" s="2">
        <v>63259.34</v>
      </c>
      <c r="G1092" s="2">
        <v>63259.34</v>
      </c>
      <c r="H1092" s="2">
        <v>0</v>
      </c>
      <c r="I1092" s="2">
        <v>55175.34</v>
      </c>
      <c r="J1092" s="2">
        <v>8084</v>
      </c>
      <c r="K1092" s="12">
        <v>8084</v>
      </c>
      <c r="L1092" s="12">
        <v>0</v>
      </c>
      <c r="M1092" s="12">
        <v>0</v>
      </c>
      <c r="N1092" s="4">
        <v>46204</v>
      </c>
      <c r="O1092" s="12" t="str">
        <f t="shared" si="42"/>
        <v>Offline - Box Office</v>
      </c>
      <c r="P1092">
        <v>5959038</v>
      </c>
      <c r="Q1092" s="12">
        <v>4062990453.8299999</v>
      </c>
      <c r="R1092" s="12">
        <v>4062990453.8299999</v>
      </c>
      <c r="S1092">
        <v>13243647</v>
      </c>
    </row>
    <row r="1093" spans="1:19" x14ac:dyDescent="0.35">
      <c r="A1093" s="1" t="s">
        <v>175</v>
      </c>
      <c r="B1093" s="1" t="str">
        <f t="shared" si="41"/>
        <v>Federal Bank</v>
      </c>
      <c r="C1093">
        <v>128</v>
      </c>
      <c r="D1093">
        <v>128</v>
      </c>
      <c r="E1093">
        <v>312</v>
      </c>
      <c r="F1093" s="2">
        <v>120148.85</v>
      </c>
      <c r="G1093" s="2">
        <v>104033.93</v>
      </c>
      <c r="H1093" s="2">
        <v>1814</v>
      </c>
      <c r="I1093" s="2">
        <v>107383.85</v>
      </c>
      <c r="J1093" s="2">
        <v>12765</v>
      </c>
      <c r="K1093" s="12">
        <v>12765</v>
      </c>
      <c r="L1093" s="12">
        <v>0</v>
      </c>
      <c r="M1093" s="12">
        <v>14034.92</v>
      </c>
      <c r="N1093" s="4">
        <v>46204</v>
      </c>
      <c r="O1093" s="12" t="str">
        <f t="shared" si="42"/>
        <v>Online</v>
      </c>
      <c r="P1093">
        <v>5959038</v>
      </c>
      <c r="Q1093" s="12">
        <v>4062990453.8299999</v>
      </c>
      <c r="R1093" s="12">
        <v>4062990453.8299999</v>
      </c>
      <c r="S1093">
        <v>13243647</v>
      </c>
    </row>
    <row r="1094" spans="1:19" x14ac:dyDescent="0.35">
      <c r="A1094" s="1" t="s">
        <v>176</v>
      </c>
      <c r="B1094" s="1" t="str">
        <f t="shared" si="41"/>
        <v>Federal Bank</v>
      </c>
      <c r="C1094">
        <v>252</v>
      </c>
      <c r="D1094">
        <v>252</v>
      </c>
      <c r="E1094">
        <v>658</v>
      </c>
      <c r="F1094" s="2">
        <v>183319.15</v>
      </c>
      <c r="G1094" s="2">
        <v>183319.15</v>
      </c>
      <c r="H1094" s="2">
        <v>0</v>
      </c>
      <c r="I1094" s="2">
        <v>158175.15</v>
      </c>
      <c r="J1094" s="2">
        <v>25144</v>
      </c>
      <c r="K1094" s="12">
        <v>25144</v>
      </c>
      <c r="L1094" s="12">
        <v>0</v>
      </c>
      <c r="M1094" s="12">
        <v>0</v>
      </c>
      <c r="N1094" s="4">
        <v>46204</v>
      </c>
      <c r="O1094" s="12" t="str">
        <f t="shared" si="42"/>
        <v>Offline - Box Office</v>
      </c>
      <c r="P1094">
        <v>5959038</v>
      </c>
      <c r="Q1094" s="12">
        <v>4062990453.8299999</v>
      </c>
      <c r="R1094" s="12">
        <v>4062990453.8299999</v>
      </c>
      <c r="S1094">
        <v>13243647</v>
      </c>
    </row>
    <row r="1095" spans="1:19" x14ac:dyDescent="0.35">
      <c r="A1095" s="1" t="s">
        <v>177</v>
      </c>
      <c r="B1095" s="1" t="str">
        <f t="shared" si="41"/>
        <v>Federal Bank</v>
      </c>
      <c r="C1095">
        <v>377</v>
      </c>
      <c r="D1095">
        <v>377</v>
      </c>
      <c r="E1095">
        <v>923</v>
      </c>
      <c r="F1095" s="2">
        <v>284767.78999999998</v>
      </c>
      <c r="G1095" s="2">
        <v>244158.01</v>
      </c>
      <c r="H1095" s="2">
        <v>2574</v>
      </c>
      <c r="I1095" s="2">
        <v>247418</v>
      </c>
      <c r="J1095" s="2">
        <v>37349.79</v>
      </c>
      <c r="K1095" s="12">
        <v>37349.79</v>
      </c>
      <c r="L1095" s="12">
        <v>0</v>
      </c>
      <c r="M1095" s="12">
        <v>37245.78</v>
      </c>
      <c r="N1095" s="4">
        <v>46204</v>
      </c>
      <c r="O1095" s="12" t="str">
        <f t="shared" si="42"/>
        <v>Online</v>
      </c>
      <c r="P1095">
        <v>5959038</v>
      </c>
      <c r="Q1095" s="12">
        <v>4062990453.8299999</v>
      </c>
      <c r="R1095" s="12">
        <v>4062990453.8299999</v>
      </c>
      <c r="S1095">
        <v>13243647</v>
      </c>
    </row>
    <row r="1096" spans="1:19" x14ac:dyDescent="0.35">
      <c r="A1096" s="1" t="s">
        <v>178</v>
      </c>
      <c r="B1096" s="1" t="str">
        <f t="shared" si="41"/>
        <v>AU Bank</v>
      </c>
      <c r="C1096">
        <v>385</v>
      </c>
      <c r="D1096">
        <v>385</v>
      </c>
      <c r="E1096">
        <v>1173</v>
      </c>
      <c r="F1096" s="2">
        <v>382827.28</v>
      </c>
      <c r="G1096" s="2">
        <v>382909.66</v>
      </c>
      <c r="H1096" s="2">
        <v>0</v>
      </c>
      <c r="I1096" s="2">
        <v>334735.28000000003</v>
      </c>
      <c r="J1096" s="2">
        <v>48092</v>
      </c>
      <c r="K1096" s="12">
        <v>33664.400000000001</v>
      </c>
      <c r="L1096" s="12">
        <v>14427.6</v>
      </c>
      <c r="M1096" s="12">
        <v>0</v>
      </c>
      <c r="N1096" s="4">
        <v>46204</v>
      </c>
      <c r="O1096" s="12" t="str">
        <f t="shared" si="42"/>
        <v>Offline - Box Office</v>
      </c>
      <c r="P1096">
        <v>5959038</v>
      </c>
      <c r="Q1096" s="12">
        <v>4062990453.8299999</v>
      </c>
      <c r="R1096" s="12">
        <v>4062990453.8299999</v>
      </c>
      <c r="S1096">
        <v>13243647</v>
      </c>
    </row>
    <row r="1097" spans="1:19" x14ac:dyDescent="0.35">
      <c r="A1097" s="1" t="s">
        <v>179</v>
      </c>
      <c r="B1097" s="1" t="str">
        <f t="shared" ref="B1097:B1160" si="43">IF(ISNUMBER(SEARCH("AXIS",A1097)),"Axis Bank",
IF(OR(ISNUMBER(SEARCH("ONE CREDIT",A1097)),ISNUMBER(SEARCH("ONECARD",A1097))),"OneCard",
IF(OR(ISNUMBER(SEARCH("PNB",A1097)),ISNUMBER(SEARCH("PUNJAB NATIONAL",A1097))),"Punjab National Bank",
IF(ISNUMBER(SEARCH("HDFC",A1097)),"HDFC Bank",
IF(ISNUMBER(SEARCH("ICICI",A1097)),"ICICI Bank",
IF(ISNUMBER(SEARCH("AU",A1097)),"AU Bank",
IF(ISNUMBER(SEARCH("KOTAK",A1097)),"Kotak Mahindra Bank",
IF(ISNUMBER(SEARCH("SBI",A1097)),"State Bank of India",
IF(ISNUMBER(SEARCH("HSBC",A1097)),"HSBC",
IF(ISNUMBER(SEARCH("DBS",A1097)),"DBS Bank",
IF(ISNUMBER(SEARCH("SCAPIA",A1097)),"Scapia",
IF(ISNUMBER(SEARCH("STANDARD CHARTERED",A1097)),"Standard Chartered Bank",
IF(ISNUMBER(SEARCH("IDBI",A1097)),"IDBI Bank",
IF(OR(ISNUMBER(SEARCH("J&amp;K",A1097)),ISNUMBER(SEARCH("JAMMU",A1097))),"J&amp;K Bank",
IF(ISNUMBER(SEARCH("FEDERAL",A1097)),"Federal Bank",
IF(OR(ISNUMBER(SEARCH("BOBCARD",A1097)),ISNUMBER(SEARCH("BANK OF BARODA",A1097))),"BOB Card",
IF(OR(ISNUMBER(SEARCH("AMEX",A1097)),ISNUMBER(SEARCH("PLATINUM",A1097)),ISNUMBER(SEARCH("CENTURION",A1097))),"American Express",
IF(ISNUMBER(SEARCH("VISA",A1097)),"Visa",
IF(ISNUMBER(SEARCH("MASTERCARD",A1097)),"Mastercard",
"")))))))))))))))))))</f>
        <v>AU Bank</v>
      </c>
      <c r="C1097">
        <v>460</v>
      </c>
      <c r="D1097">
        <v>460</v>
      </c>
      <c r="E1097">
        <v>1112</v>
      </c>
      <c r="F1097" s="2">
        <v>489648.71</v>
      </c>
      <c r="G1097" s="2">
        <v>426714.55</v>
      </c>
      <c r="H1097" s="2">
        <v>6686</v>
      </c>
      <c r="I1097" s="2">
        <v>432181.71</v>
      </c>
      <c r="J1097" s="2">
        <v>57467</v>
      </c>
      <c r="K1097" s="12">
        <v>40226.9</v>
      </c>
      <c r="L1097" s="12">
        <v>17240.099999999999</v>
      </c>
      <c r="M1097" s="12">
        <v>55274.16</v>
      </c>
      <c r="N1097" s="4">
        <v>46204</v>
      </c>
      <c r="O1097" s="12" t="str">
        <f t="shared" si="42"/>
        <v>Online</v>
      </c>
      <c r="P1097">
        <v>5959038</v>
      </c>
      <c r="Q1097" s="12">
        <v>4062990453.8299999</v>
      </c>
      <c r="R1097" s="12">
        <v>4062990453.8299999</v>
      </c>
      <c r="S1097">
        <v>13243647</v>
      </c>
    </row>
    <row r="1098" spans="1:19" x14ac:dyDescent="0.35">
      <c r="A1098" s="1" t="s">
        <v>180</v>
      </c>
      <c r="B1098" s="1" t="str">
        <f t="shared" si="43"/>
        <v>HDFC Bank</v>
      </c>
      <c r="C1098">
        <v>87</v>
      </c>
      <c r="D1098">
        <v>0</v>
      </c>
      <c r="E1098">
        <v>102</v>
      </c>
      <c r="F1098" s="2">
        <v>69580</v>
      </c>
      <c r="G1098" s="2">
        <v>0</v>
      </c>
      <c r="H1098" s="2">
        <v>69580</v>
      </c>
      <c r="I1098" s="2">
        <v>60880</v>
      </c>
      <c r="J1098" s="2">
        <v>8700</v>
      </c>
      <c r="K1098" s="12">
        <v>8700</v>
      </c>
      <c r="L1098" s="12">
        <v>0</v>
      </c>
      <c r="M1098" s="12">
        <v>0</v>
      </c>
      <c r="N1098" s="4">
        <v>46204</v>
      </c>
      <c r="O1098" s="12" t="str">
        <f t="shared" si="42"/>
        <v>Offline - F&amp;B</v>
      </c>
      <c r="P1098">
        <v>5959038</v>
      </c>
      <c r="Q1098" s="12">
        <v>4062990453.8299999</v>
      </c>
      <c r="R1098" s="12">
        <v>4062990453.8299999</v>
      </c>
      <c r="S1098">
        <v>13243647</v>
      </c>
    </row>
    <row r="1099" spans="1:19" x14ac:dyDescent="0.35">
      <c r="A1099" s="1" t="s">
        <v>181</v>
      </c>
      <c r="B1099" s="1" t="str">
        <f t="shared" si="43"/>
        <v>ICICI Bank</v>
      </c>
      <c r="C1099">
        <v>2326</v>
      </c>
      <c r="D1099">
        <v>0</v>
      </c>
      <c r="E1099">
        <v>6471</v>
      </c>
      <c r="F1099" s="2">
        <v>1731594.97</v>
      </c>
      <c r="G1099" s="2">
        <v>1731594.97</v>
      </c>
      <c r="H1099" s="2">
        <v>0</v>
      </c>
      <c r="I1099" s="2">
        <v>1487985.97</v>
      </c>
      <c r="J1099" s="2">
        <v>243609</v>
      </c>
      <c r="K1099" s="12">
        <v>214375.92</v>
      </c>
      <c r="L1099" s="12">
        <v>29233.08</v>
      </c>
      <c r="M1099" s="12">
        <v>0</v>
      </c>
      <c r="N1099" s="4">
        <v>46204</v>
      </c>
      <c r="O1099" s="12" t="str">
        <f t="shared" si="42"/>
        <v>Offline - Box Office</v>
      </c>
      <c r="P1099">
        <v>5959038</v>
      </c>
      <c r="Q1099" s="12">
        <v>4062990453.8299999</v>
      </c>
      <c r="R1099" s="12">
        <v>4062990453.8299999</v>
      </c>
      <c r="S1099">
        <v>13243647</v>
      </c>
    </row>
    <row r="1100" spans="1:19" x14ac:dyDescent="0.35">
      <c r="A1100" s="1" t="s">
        <v>182</v>
      </c>
      <c r="B1100" s="1" t="str">
        <f t="shared" si="43"/>
        <v>ICICI Bank</v>
      </c>
      <c r="C1100">
        <v>1082</v>
      </c>
      <c r="D1100">
        <v>0</v>
      </c>
      <c r="E1100">
        <v>2858</v>
      </c>
      <c r="F1100" s="2">
        <v>1066875.6599999999</v>
      </c>
      <c r="G1100" s="2">
        <v>921943.78</v>
      </c>
      <c r="H1100" s="2">
        <v>18827</v>
      </c>
      <c r="I1100" s="2">
        <v>948359.66</v>
      </c>
      <c r="J1100" s="2">
        <v>118516</v>
      </c>
      <c r="K1100" s="12">
        <v>100738.6</v>
      </c>
      <c r="L1100" s="12">
        <v>17777.400000000001</v>
      </c>
      <c r="M1100" s="12">
        <v>123558.88</v>
      </c>
      <c r="N1100" s="4">
        <v>46204</v>
      </c>
      <c r="O1100" s="12" t="str">
        <f t="shared" si="42"/>
        <v>Online</v>
      </c>
      <c r="P1100">
        <v>5959038</v>
      </c>
      <c r="Q1100" s="12">
        <v>4062990453.8299999</v>
      </c>
      <c r="R1100" s="12">
        <v>4062990453.8299999</v>
      </c>
      <c r="S1100">
        <v>13243647</v>
      </c>
    </row>
    <row r="1101" spans="1:19" x14ac:dyDescent="0.35">
      <c r="A1101" s="1" t="s">
        <v>183</v>
      </c>
      <c r="B1101" s="1" t="str">
        <f t="shared" si="43"/>
        <v>ICICI Bank</v>
      </c>
      <c r="C1101">
        <v>47</v>
      </c>
      <c r="D1101">
        <v>0</v>
      </c>
      <c r="E1101">
        <v>124</v>
      </c>
      <c r="F1101" s="2">
        <v>35656.400000000001</v>
      </c>
      <c r="G1101" s="2">
        <v>35656.400000000001</v>
      </c>
      <c r="H1101" s="2">
        <v>0</v>
      </c>
      <c r="I1101" s="2">
        <v>32141.4</v>
      </c>
      <c r="J1101" s="2">
        <v>3515</v>
      </c>
      <c r="K1101" s="12">
        <v>3093.2</v>
      </c>
      <c r="L1101" s="12">
        <v>421.8</v>
      </c>
      <c r="M1101" s="12">
        <v>0</v>
      </c>
      <c r="N1101" s="4">
        <v>46204</v>
      </c>
      <c r="O1101" s="12" t="str">
        <f t="shared" si="42"/>
        <v>Offline - Box Office</v>
      </c>
      <c r="P1101">
        <v>5959038</v>
      </c>
      <c r="Q1101" s="12">
        <v>4062990453.8299999</v>
      </c>
      <c r="R1101" s="12">
        <v>4062990453.8299999</v>
      </c>
      <c r="S1101">
        <v>13243647</v>
      </c>
    </row>
    <row r="1102" spans="1:19" x14ac:dyDescent="0.35">
      <c r="A1102" s="1" t="s">
        <v>184</v>
      </c>
      <c r="B1102" s="1" t="str">
        <f t="shared" si="43"/>
        <v>ICICI Bank</v>
      </c>
      <c r="C1102">
        <v>31</v>
      </c>
      <c r="D1102">
        <v>0</v>
      </c>
      <c r="E1102">
        <v>89</v>
      </c>
      <c r="F1102" s="2">
        <v>37903.24</v>
      </c>
      <c r="G1102" s="2">
        <v>31922.400000000001</v>
      </c>
      <c r="H1102" s="2">
        <v>1890</v>
      </c>
      <c r="I1102" s="2">
        <v>35503.24</v>
      </c>
      <c r="J1102" s="2">
        <v>2400</v>
      </c>
      <c r="K1102" s="12">
        <v>2040</v>
      </c>
      <c r="L1102" s="12">
        <v>360</v>
      </c>
      <c r="M1102" s="12">
        <v>4058.84</v>
      </c>
      <c r="N1102" s="4">
        <v>46204</v>
      </c>
      <c r="O1102" s="12" t="str">
        <f t="shared" si="42"/>
        <v>Online</v>
      </c>
      <c r="P1102">
        <v>5959038</v>
      </c>
      <c r="Q1102" s="12">
        <v>4062990453.8299999</v>
      </c>
      <c r="R1102" s="12">
        <v>4062990453.8299999</v>
      </c>
      <c r="S1102">
        <v>13243647</v>
      </c>
    </row>
    <row r="1103" spans="1:19" x14ac:dyDescent="0.35">
      <c r="A1103" s="1" t="s">
        <v>185</v>
      </c>
      <c r="B1103" s="1" t="str">
        <f t="shared" si="43"/>
        <v>IDBI Bank</v>
      </c>
      <c r="C1103">
        <v>111</v>
      </c>
      <c r="D1103">
        <v>0</v>
      </c>
      <c r="E1103">
        <v>293</v>
      </c>
      <c r="F1103" s="2">
        <v>105088.94</v>
      </c>
      <c r="G1103" s="2">
        <v>105088.94</v>
      </c>
      <c r="H1103" s="2">
        <v>0</v>
      </c>
      <c r="I1103" s="2">
        <v>86400.94</v>
      </c>
      <c r="J1103" s="2">
        <v>18688</v>
      </c>
      <c r="K1103" s="12">
        <v>13081.6</v>
      </c>
      <c r="L1103" s="12">
        <v>5606.4</v>
      </c>
      <c r="M1103" s="12">
        <v>0</v>
      </c>
      <c r="N1103" s="4">
        <v>46204</v>
      </c>
      <c r="O1103" s="12" t="str">
        <f t="shared" si="42"/>
        <v>Offline - Box Office</v>
      </c>
      <c r="P1103">
        <v>5959038</v>
      </c>
      <c r="Q1103" s="12">
        <v>4062990453.8299999</v>
      </c>
      <c r="R1103" s="12">
        <v>4062990453.8299999</v>
      </c>
      <c r="S1103">
        <v>13243647</v>
      </c>
    </row>
    <row r="1104" spans="1:19" x14ac:dyDescent="0.35">
      <c r="A1104" s="1" t="s">
        <v>186</v>
      </c>
      <c r="B1104" s="1" t="str">
        <f t="shared" si="43"/>
        <v>IDBI Bank</v>
      </c>
      <c r="C1104">
        <v>52</v>
      </c>
      <c r="D1104">
        <v>0</v>
      </c>
      <c r="E1104">
        <v>146</v>
      </c>
      <c r="F1104" s="2">
        <v>64494.81</v>
      </c>
      <c r="G1104" s="2">
        <v>54556.73</v>
      </c>
      <c r="H1104" s="2">
        <v>2809</v>
      </c>
      <c r="I1104" s="2">
        <v>55249.81</v>
      </c>
      <c r="J1104" s="2">
        <v>9245</v>
      </c>
      <c r="K1104" s="12">
        <v>6471.5</v>
      </c>
      <c r="L1104" s="12">
        <v>2773.5</v>
      </c>
      <c r="M1104" s="12">
        <v>6969.08</v>
      </c>
      <c r="N1104" s="4">
        <v>46204</v>
      </c>
      <c r="O1104" s="12" t="str">
        <f t="shared" si="42"/>
        <v>Online</v>
      </c>
      <c r="P1104">
        <v>5959038</v>
      </c>
      <c r="Q1104" s="12">
        <v>4062990453.8299999</v>
      </c>
      <c r="R1104" s="12">
        <v>4062990453.8299999</v>
      </c>
      <c r="S1104">
        <v>13243647</v>
      </c>
    </row>
    <row r="1105" spans="1:19" x14ac:dyDescent="0.35">
      <c r="A1105" s="1" t="s">
        <v>187</v>
      </c>
      <c r="B1105" s="1" t="str">
        <f t="shared" si="43"/>
        <v>IDBI Bank</v>
      </c>
      <c r="C1105">
        <v>202</v>
      </c>
      <c r="D1105">
        <v>0</v>
      </c>
      <c r="E1105">
        <v>640</v>
      </c>
      <c r="F1105" s="2">
        <v>202767.03</v>
      </c>
      <c r="G1105" s="2">
        <v>0</v>
      </c>
      <c r="H1105" s="2">
        <v>202767.03</v>
      </c>
      <c r="I1105" s="2">
        <v>168228.03</v>
      </c>
      <c r="J1105" s="2">
        <v>34539</v>
      </c>
      <c r="K1105" s="12">
        <v>24177.3</v>
      </c>
      <c r="L1105" s="12">
        <v>10361.700000000001</v>
      </c>
      <c r="M1105" s="12">
        <v>0</v>
      </c>
      <c r="N1105" s="4">
        <v>46204</v>
      </c>
      <c r="O1105" s="12" t="str">
        <f t="shared" si="42"/>
        <v>Offline - F&amp;B</v>
      </c>
      <c r="P1105">
        <v>5959038</v>
      </c>
      <c r="Q1105" s="12">
        <v>4062990453.8299999</v>
      </c>
      <c r="R1105" s="12">
        <v>4062990453.8299999</v>
      </c>
      <c r="S1105">
        <v>13243647</v>
      </c>
    </row>
    <row r="1106" spans="1:19" x14ac:dyDescent="0.35">
      <c r="A1106" s="1" t="s">
        <v>188</v>
      </c>
      <c r="B1106" s="1" t="str">
        <f t="shared" si="43"/>
        <v>IDBI Bank</v>
      </c>
      <c r="C1106">
        <v>4</v>
      </c>
      <c r="D1106">
        <v>0</v>
      </c>
      <c r="E1106">
        <v>14</v>
      </c>
      <c r="F1106" s="2">
        <v>11991.24</v>
      </c>
      <c r="G1106" s="2">
        <v>10060</v>
      </c>
      <c r="H1106" s="2">
        <v>1060</v>
      </c>
      <c r="I1106" s="2">
        <v>10413.24</v>
      </c>
      <c r="J1106" s="2">
        <v>1578</v>
      </c>
      <c r="K1106" s="12">
        <v>1104.5999999999999</v>
      </c>
      <c r="L1106" s="12">
        <v>473.4</v>
      </c>
      <c r="M1106" s="12">
        <v>847.24</v>
      </c>
      <c r="N1106" s="4">
        <v>46204</v>
      </c>
      <c r="O1106" s="12" t="str">
        <f t="shared" si="42"/>
        <v>Online</v>
      </c>
      <c r="P1106">
        <v>5959038</v>
      </c>
      <c r="Q1106" s="12">
        <v>4062990453.8299999</v>
      </c>
      <c r="R1106" s="12">
        <v>4062990453.8299999</v>
      </c>
      <c r="S1106">
        <v>13243647</v>
      </c>
    </row>
    <row r="1107" spans="1:19" x14ac:dyDescent="0.35">
      <c r="A1107" s="1" t="s">
        <v>189</v>
      </c>
      <c r="B1107" s="1" t="str">
        <f t="shared" si="43"/>
        <v>IDBI Bank</v>
      </c>
      <c r="C1107">
        <v>51</v>
      </c>
      <c r="D1107">
        <v>0</v>
      </c>
      <c r="E1107">
        <v>106</v>
      </c>
      <c r="F1107" s="2">
        <v>49464.92</v>
      </c>
      <c r="G1107" s="2">
        <v>43793.440000000002</v>
      </c>
      <c r="H1107" s="2">
        <v>0</v>
      </c>
      <c r="I1107" s="2">
        <v>41746.92</v>
      </c>
      <c r="J1107" s="2">
        <v>7718</v>
      </c>
      <c r="K1107" s="12">
        <v>7332.1</v>
      </c>
      <c r="L1107" s="12">
        <v>385.9</v>
      </c>
      <c r="M1107" s="12">
        <v>5605.48</v>
      </c>
      <c r="N1107" s="4">
        <v>46204</v>
      </c>
      <c r="O1107" s="12" t="str">
        <f t="shared" si="42"/>
        <v>Online</v>
      </c>
      <c r="P1107">
        <v>5959038</v>
      </c>
      <c r="Q1107" s="12">
        <v>4062990453.8299999</v>
      </c>
      <c r="R1107" s="12">
        <v>4062990453.8299999</v>
      </c>
      <c r="S1107">
        <v>13243647</v>
      </c>
    </row>
    <row r="1108" spans="1:19" x14ac:dyDescent="0.35">
      <c r="A1108" s="1" t="s">
        <v>190</v>
      </c>
      <c r="B1108" s="1" t="str">
        <f t="shared" si="43"/>
        <v>Punjab National Bank</v>
      </c>
      <c r="C1108">
        <v>32</v>
      </c>
      <c r="D1108">
        <v>0</v>
      </c>
      <c r="E1108">
        <v>53</v>
      </c>
      <c r="F1108" s="2">
        <v>27389.439999999999</v>
      </c>
      <c r="G1108" s="2">
        <v>26261</v>
      </c>
      <c r="H1108" s="2">
        <v>1060</v>
      </c>
      <c r="I1108" s="2">
        <v>22004.44</v>
      </c>
      <c r="J1108" s="2">
        <v>5385</v>
      </c>
      <c r="K1108" s="12">
        <v>4577.25</v>
      </c>
      <c r="L1108" s="12">
        <v>807.75</v>
      </c>
      <c r="M1108" s="12">
        <v>68.44</v>
      </c>
      <c r="N1108" s="4">
        <v>46204</v>
      </c>
      <c r="O1108" s="12" t="str">
        <f t="shared" si="42"/>
        <v>Online</v>
      </c>
      <c r="P1108">
        <v>5959038</v>
      </c>
      <c r="Q1108" s="12">
        <v>4062990453.8299999</v>
      </c>
      <c r="R1108" s="12">
        <v>4062990453.8299999</v>
      </c>
      <c r="S1108">
        <v>13243647</v>
      </c>
    </row>
    <row r="1109" spans="1:19" x14ac:dyDescent="0.35">
      <c r="A1109" s="1" t="s">
        <v>191</v>
      </c>
      <c r="B1109" s="1" t="str">
        <f t="shared" si="43"/>
        <v>Punjab National Bank</v>
      </c>
      <c r="C1109">
        <v>316</v>
      </c>
      <c r="D1109">
        <v>0</v>
      </c>
      <c r="E1109">
        <v>811</v>
      </c>
      <c r="F1109" s="2">
        <v>270471.09999999998</v>
      </c>
      <c r="G1109" s="2">
        <v>0</v>
      </c>
      <c r="H1109" s="2">
        <v>270471.09999999998</v>
      </c>
      <c r="I1109" s="2">
        <v>216585.1</v>
      </c>
      <c r="J1109" s="2">
        <v>53886</v>
      </c>
      <c r="K1109" s="12">
        <v>45803.1</v>
      </c>
      <c r="L1109" s="12">
        <v>8082.9</v>
      </c>
      <c r="M1109" s="12">
        <v>0</v>
      </c>
      <c r="N1109" s="4">
        <v>46204</v>
      </c>
      <c r="O1109" s="12" t="str">
        <f t="shared" si="42"/>
        <v>Offline - F&amp;B</v>
      </c>
      <c r="P1109">
        <v>5959038</v>
      </c>
      <c r="Q1109" s="12">
        <v>4062990453.8299999</v>
      </c>
      <c r="R1109" s="12">
        <v>4062990453.8299999</v>
      </c>
      <c r="S1109">
        <v>13243647</v>
      </c>
    </row>
    <row r="1110" spans="1:19" x14ac:dyDescent="0.35">
      <c r="A1110" s="1" t="s">
        <v>192</v>
      </c>
      <c r="B1110" s="1" t="str">
        <f t="shared" si="43"/>
        <v>Kotak Mahindra Bank</v>
      </c>
      <c r="C1110">
        <v>33</v>
      </c>
      <c r="D1110">
        <v>33</v>
      </c>
      <c r="E1110">
        <v>81</v>
      </c>
      <c r="F1110" s="2">
        <v>86839.52</v>
      </c>
      <c r="G1110" s="2">
        <v>80586</v>
      </c>
      <c r="H1110" s="2">
        <v>0</v>
      </c>
      <c r="I1110" s="2">
        <v>63241.52</v>
      </c>
      <c r="J1110" s="2">
        <v>23598</v>
      </c>
      <c r="K1110" s="12">
        <v>23598</v>
      </c>
      <c r="L1110" s="12">
        <v>0</v>
      </c>
      <c r="M1110" s="12">
        <v>6135.52</v>
      </c>
      <c r="N1110" s="4">
        <v>46204</v>
      </c>
      <c r="O1110" s="12" t="str">
        <f t="shared" si="42"/>
        <v>Online</v>
      </c>
      <c r="P1110">
        <v>5959038</v>
      </c>
      <c r="Q1110" s="12">
        <v>4062990453.8299999</v>
      </c>
      <c r="R1110" s="12">
        <v>4062990453.8299999</v>
      </c>
      <c r="S1110">
        <v>13243647</v>
      </c>
    </row>
    <row r="1111" spans="1:19" x14ac:dyDescent="0.35">
      <c r="A1111" s="1" t="s">
        <v>193</v>
      </c>
      <c r="B1111" s="1" t="str">
        <f t="shared" si="43"/>
        <v>Kotak Mahindra Bank</v>
      </c>
      <c r="C1111">
        <v>411</v>
      </c>
      <c r="D1111">
        <v>411</v>
      </c>
      <c r="E1111">
        <v>960</v>
      </c>
      <c r="F1111" s="2">
        <v>330697.7</v>
      </c>
      <c r="G1111" s="2">
        <v>286789.7</v>
      </c>
      <c r="H1111" s="2">
        <v>1859</v>
      </c>
      <c r="I1111" s="2">
        <v>238742.34</v>
      </c>
      <c r="J1111" s="2">
        <v>91955.36</v>
      </c>
      <c r="K1111" s="12">
        <v>91955.36</v>
      </c>
      <c r="L1111" s="12">
        <v>0</v>
      </c>
      <c r="M1111" s="12">
        <v>41101</v>
      </c>
      <c r="N1111" s="4">
        <v>46204</v>
      </c>
      <c r="O1111" s="12" t="str">
        <f t="shared" si="42"/>
        <v>Online</v>
      </c>
      <c r="P1111">
        <v>5959038</v>
      </c>
      <c r="Q1111" s="12">
        <v>4062990453.8299999</v>
      </c>
      <c r="R1111" s="12">
        <v>4062990453.8299999</v>
      </c>
      <c r="S1111">
        <v>13243647</v>
      </c>
    </row>
    <row r="1112" spans="1:19" x14ac:dyDescent="0.35">
      <c r="A1112" s="1" t="s">
        <v>194</v>
      </c>
      <c r="B1112" s="1" t="str">
        <f t="shared" si="43"/>
        <v>Kotak Mahindra Bank</v>
      </c>
      <c r="C1112">
        <v>127</v>
      </c>
      <c r="D1112">
        <v>127</v>
      </c>
      <c r="E1112">
        <v>286</v>
      </c>
      <c r="F1112" s="2">
        <v>247923.76</v>
      </c>
      <c r="G1112" s="2">
        <v>227668</v>
      </c>
      <c r="H1112" s="2">
        <v>545</v>
      </c>
      <c r="I1112" s="2">
        <v>163593.76</v>
      </c>
      <c r="J1112" s="2">
        <v>84330</v>
      </c>
      <c r="K1112" s="12">
        <v>84330</v>
      </c>
      <c r="L1112" s="12">
        <v>0</v>
      </c>
      <c r="M1112" s="12">
        <v>19456.759999999998</v>
      </c>
      <c r="N1112" s="4">
        <v>46204</v>
      </c>
      <c r="O1112" s="12" t="str">
        <f t="shared" si="42"/>
        <v>Online</v>
      </c>
      <c r="P1112">
        <v>5959038</v>
      </c>
      <c r="Q1112" s="12">
        <v>4062990453.8299999</v>
      </c>
      <c r="R1112" s="12">
        <v>4062990453.8299999</v>
      </c>
      <c r="S1112">
        <v>13243647</v>
      </c>
    </row>
    <row r="1113" spans="1:19" x14ac:dyDescent="0.35">
      <c r="A1113" s="1" t="s">
        <v>195</v>
      </c>
      <c r="B1113" s="1" t="str">
        <f t="shared" si="43"/>
        <v>Kotak Mahindra Bank</v>
      </c>
      <c r="C1113">
        <v>24078</v>
      </c>
      <c r="D1113">
        <v>0</v>
      </c>
      <c r="E1113">
        <v>57273</v>
      </c>
      <c r="F1113" s="2">
        <v>17131361.600000001</v>
      </c>
      <c r="G1113" s="2">
        <v>552206.96</v>
      </c>
      <c r="H1113" s="2">
        <v>16570886.960000001</v>
      </c>
      <c r="I1113" s="2">
        <v>13718858.6</v>
      </c>
      <c r="J1113" s="2">
        <v>3412503</v>
      </c>
      <c r="K1113" s="12">
        <v>0</v>
      </c>
      <c r="L1113" s="12">
        <v>3412503</v>
      </c>
      <c r="M1113" s="12">
        <v>8071.68</v>
      </c>
      <c r="N1113" s="4">
        <v>46204</v>
      </c>
      <c r="O1113" s="12" t="str">
        <f t="shared" si="42"/>
        <v>Other</v>
      </c>
      <c r="P1113">
        <v>5959038</v>
      </c>
      <c r="Q1113" s="12">
        <v>4062990453.8299999</v>
      </c>
      <c r="R1113" s="12">
        <v>4062990453.8299999</v>
      </c>
      <c r="S1113">
        <v>13243647</v>
      </c>
    </row>
    <row r="1114" spans="1:19" x14ac:dyDescent="0.35">
      <c r="A1114" s="1" t="s">
        <v>196</v>
      </c>
      <c r="B1114" s="1" t="str">
        <f t="shared" si="43"/>
        <v>Kotak Mahindra Bank</v>
      </c>
      <c r="C1114">
        <v>4797</v>
      </c>
      <c r="D1114">
        <v>0</v>
      </c>
      <c r="E1114">
        <v>10881</v>
      </c>
      <c r="F1114" s="2">
        <v>3812856.27</v>
      </c>
      <c r="G1114" s="2">
        <v>3632152.01</v>
      </c>
      <c r="H1114" s="2">
        <v>3847</v>
      </c>
      <c r="I1114" s="2">
        <v>3690399.11</v>
      </c>
      <c r="J1114" s="2">
        <v>122457</v>
      </c>
      <c r="K1114" s="12">
        <v>0</v>
      </c>
      <c r="L1114" s="12">
        <v>122457</v>
      </c>
      <c r="M1114" s="12">
        <v>174275.02</v>
      </c>
      <c r="N1114" s="4">
        <v>46204</v>
      </c>
      <c r="O1114" s="12" t="str">
        <f t="shared" si="42"/>
        <v>Other</v>
      </c>
      <c r="P1114">
        <v>5959038</v>
      </c>
      <c r="Q1114" s="12">
        <v>4062990453.8299999</v>
      </c>
      <c r="R1114" s="12">
        <v>4062990453.8299999</v>
      </c>
      <c r="S1114">
        <v>13243647</v>
      </c>
    </row>
    <row r="1115" spans="1:19" x14ac:dyDescent="0.35">
      <c r="A1115" s="1" t="s">
        <v>197</v>
      </c>
      <c r="B1115" s="1" t="str">
        <f t="shared" si="43"/>
        <v>Kotak Mahindra Bank</v>
      </c>
      <c r="C1115">
        <v>272</v>
      </c>
      <c r="D1115">
        <v>272</v>
      </c>
      <c r="E1115">
        <v>623</v>
      </c>
      <c r="F1115" s="2">
        <v>725898.96</v>
      </c>
      <c r="G1115" s="2">
        <v>680792</v>
      </c>
      <c r="H1115" s="2">
        <v>0</v>
      </c>
      <c r="I1115" s="2">
        <v>454954.96</v>
      </c>
      <c r="J1115" s="2">
        <v>270944</v>
      </c>
      <c r="K1115" s="12">
        <v>270944</v>
      </c>
      <c r="L1115" s="12">
        <v>0</v>
      </c>
      <c r="M1115" s="12">
        <v>44312.959999999999</v>
      </c>
      <c r="N1115" s="4">
        <v>46204</v>
      </c>
      <c r="O1115" s="12" t="str">
        <f t="shared" si="42"/>
        <v>Online</v>
      </c>
      <c r="P1115">
        <v>5959038</v>
      </c>
      <c r="Q1115" s="12">
        <v>4062990453.8299999</v>
      </c>
      <c r="R1115" s="12">
        <v>4062990453.8299999</v>
      </c>
      <c r="S1115">
        <v>13243647</v>
      </c>
    </row>
    <row r="1116" spans="1:19" x14ac:dyDescent="0.35">
      <c r="A1116" s="1" t="s">
        <v>198</v>
      </c>
      <c r="B1116" s="1" t="str">
        <f t="shared" si="43"/>
        <v>OneCard</v>
      </c>
      <c r="C1116">
        <v>155</v>
      </c>
      <c r="D1116">
        <v>0</v>
      </c>
      <c r="E1116">
        <v>355</v>
      </c>
      <c r="F1116" s="2">
        <v>91471.360000000001</v>
      </c>
      <c r="G1116" s="2">
        <v>91471.360000000001</v>
      </c>
      <c r="H1116" s="2">
        <v>0</v>
      </c>
      <c r="I1116" s="2">
        <v>73938.36</v>
      </c>
      <c r="J1116" s="2">
        <v>17533</v>
      </c>
      <c r="K1116" s="12">
        <v>15779.7</v>
      </c>
      <c r="L1116" s="12">
        <v>1753.3</v>
      </c>
      <c r="M1116" s="12">
        <v>0</v>
      </c>
      <c r="N1116" s="4">
        <v>46204</v>
      </c>
      <c r="O1116" s="12" t="str">
        <f t="shared" si="42"/>
        <v>Offline - Box Office</v>
      </c>
      <c r="P1116">
        <v>5959038</v>
      </c>
      <c r="Q1116" s="12">
        <v>4062990453.8299999</v>
      </c>
      <c r="R1116" s="12">
        <v>4062990453.8299999</v>
      </c>
      <c r="S1116">
        <v>13243647</v>
      </c>
    </row>
    <row r="1117" spans="1:19" x14ac:dyDescent="0.35">
      <c r="A1117" s="1" t="s">
        <v>199</v>
      </c>
      <c r="B1117" s="1" t="str">
        <f t="shared" si="43"/>
        <v>OneCard</v>
      </c>
      <c r="C1117">
        <v>2561</v>
      </c>
      <c r="D1117">
        <v>0</v>
      </c>
      <c r="E1117">
        <v>5724</v>
      </c>
      <c r="F1117" s="2">
        <v>2399959.88</v>
      </c>
      <c r="G1117" s="2">
        <v>2091660.4</v>
      </c>
      <c r="H1117" s="2">
        <v>31121</v>
      </c>
      <c r="I1117" s="2">
        <v>2017607.88</v>
      </c>
      <c r="J1117" s="2">
        <v>382352</v>
      </c>
      <c r="K1117" s="12">
        <v>344116.8</v>
      </c>
      <c r="L1117" s="12">
        <v>38235.199999999997</v>
      </c>
      <c r="M1117" s="12">
        <v>272284</v>
      </c>
      <c r="N1117" s="4">
        <v>46204</v>
      </c>
      <c r="O1117" s="12" t="str">
        <f t="shared" si="42"/>
        <v>Online</v>
      </c>
      <c r="P1117">
        <v>5959038</v>
      </c>
      <c r="Q1117" s="12">
        <v>4062990453.8299999</v>
      </c>
      <c r="R1117" s="12">
        <v>4062990453.8299999</v>
      </c>
      <c r="S1117">
        <v>13243647</v>
      </c>
    </row>
    <row r="1118" spans="1:19" x14ac:dyDescent="0.35">
      <c r="A1118" s="1" t="s">
        <v>200</v>
      </c>
      <c r="B1118" s="1" t="str">
        <f t="shared" si="43"/>
        <v>Punjab National Bank</v>
      </c>
      <c r="C1118">
        <v>141</v>
      </c>
      <c r="D1118">
        <v>141</v>
      </c>
      <c r="E1118">
        <v>405</v>
      </c>
      <c r="F1118" s="2">
        <v>115863.18</v>
      </c>
      <c r="G1118" s="2">
        <v>115863.18</v>
      </c>
      <c r="H1118" s="2">
        <v>0</v>
      </c>
      <c r="I1118" s="2">
        <v>78005.490000000005</v>
      </c>
      <c r="J1118" s="2">
        <v>37857.69</v>
      </c>
      <c r="K1118" s="12">
        <v>37857.69</v>
      </c>
      <c r="L1118" s="12">
        <v>0</v>
      </c>
      <c r="M1118" s="12">
        <v>0</v>
      </c>
      <c r="N1118" s="4">
        <v>46204</v>
      </c>
      <c r="O1118" s="12" t="str">
        <f t="shared" si="42"/>
        <v>Offline - Box Office</v>
      </c>
      <c r="P1118">
        <v>5959038</v>
      </c>
      <c r="Q1118" s="12">
        <v>4062990453.8299999</v>
      </c>
      <c r="R1118" s="12">
        <v>4062990453.8299999</v>
      </c>
      <c r="S1118">
        <v>13243647</v>
      </c>
    </row>
    <row r="1119" spans="1:19" x14ac:dyDescent="0.35">
      <c r="A1119" s="1" t="s">
        <v>201</v>
      </c>
      <c r="B1119" s="1" t="str">
        <f t="shared" si="43"/>
        <v>Punjab National Bank</v>
      </c>
      <c r="C1119">
        <v>441</v>
      </c>
      <c r="D1119">
        <v>441</v>
      </c>
      <c r="E1119">
        <v>1000</v>
      </c>
      <c r="F1119" s="2">
        <v>484909.49</v>
      </c>
      <c r="G1119" s="2">
        <v>421251.61</v>
      </c>
      <c r="H1119" s="2">
        <v>6520</v>
      </c>
      <c r="I1119" s="2">
        <v>325620.96999999997</v>
      </c>
      <c r="J1119" s="2">
        <v>159288.51999999999</v>
      </c>
      <c r="K1119" s="12">
        <v>159288.51999999999</v>
      </c>
      <c r="L1119" s="12">
        <v>0</v>
      </c>
      <c r="M1119" s="12">
        <v>56101.88</v>
      </c>
      <c r="N1119" s="4">
        <v>46204</v>
      </c>
      <c r="O1119" s="12" t="str">
        <f t="shared" si="42"/>
        <v>Online</v>
      </c>
      <c r="P1119">
        <v>5959038</v>
      </c>
      <c r="Q1119" s="12">
        <v>4062990453.8299999</v>
      </c>
      <c r="R1119" s="12">
        <v>4062990453.8299999</v>
      </c>
      <c r="S1119">
        <v>13243647</v>
      </c>
    </row>
    <row r="1120" spans="1:19" x14ac:dyDescent="0.35">
      <c r="A1120" s="1" t="s">
        <v>202</v>
      </c>
      <c r="B1120" s="1" t="str">
        <f t="shared" si="43"/>
        <v>State Bank of India</v>
      </c>
      <c r="C1120">
        <v>3243</v>
      </c>
      <c r="D1120">
        <v>0</v>
      </c>
      <c r="E1120">
        <v>9290</v>
      </c>
      <c r="F1120" s="2">
        <v>2780624.32</v>
      </c>
      <c r="G1120" s="2">
        <v>0</v>
      </c>
      <c r="H1120" s="2">
        <v>2780624.32</v>
      </c>
      <c r="I1120" s="2">
        <v>2456324.3199999998</v>
      </c>
      <c r="J1120" s="2">
        <v>324300</v>
      </c>
      <c r="K1120" s="12">
        <v>259440</v>
      </c>
      <c r="L1120" s="12">
        <v>64860</v>
      </c>
      <c r="M1120" s="12">
        <v>0</v>
      </c>
      <c r="N1120" s="4">
        <v>46204</v>
      </c>
      <c r="O1120" s="12" t="str">
        <f t="shared" si="42"/>
        <v>Offline - F&amp;B</v>
      </c>
      <c r="P1120">
        <v>5959038</v>
      </c>
      <c r="Q1120" s="12">
        <v>4062990453.8299999</v>
      </c>
      <c r="R1120" s="12">
        <v>4062990453.8299999</v>
      </c>
      <c r="S1120">
        <v>13243647</v>
      </c>
    </row>
    <row r="1121" spans="1:19" x14ac:dyDescent="0.35">
      <c r="A1121" s="1" t="s">
        <v>203</v>
      </c>
      <c r="B1121" s="1" t="str">
        <f t="shared" si="43"/>
        <v>State Bank of India</v>
      </c>
      <c r="C1121">
        <v>2219</v>
      </c>
      <c r="D1121">
        <v>2219</v>
      </c>
      <c r="E1121">
        <v>6119</v>
      </c>
      <c r="F1121" s="2">
        <v>1663517.94</v>
      </c>
      <c r="G1121" s="2">
        <v>1663517.94</v>
      </c>
      <c r="H1121" s="2">
        <v>0</v>
      </c>
      <c r="I1121" s="2">
        <v>1187344.8600000001</v>
      </c>
      <c r="J1121" s="2">
        <v>476173.08</v>
      </c>
      <c r="K1121" s="12">
        <v>476173.08</v>
      </c>
      <c r="L1121" s="12">
        <v>0</v>
      </c>
      <c r="M1121" s="12">
        <v>0</v>
      </c>
      <c r="N1121" s="4">
        <v>46204</v>
      </c>
      <c r="O1121" s="12" t="str">
        <f t="shared" si="42"/>
        <v>Offline - Box Office</v>
      </c>
      <c r="P1121">
        <v>5959038</v>
      </c>
      <c r="Q1121" s="12">
        <v>4062990453.8299999</v>
      </c>
      <c r="R1121" s="12">
        <v>4062990453.8299999</v>
      </c>
      <c r="S1121">
        <v>13243647</v>
      </c>
    </row>
    <row r="1122" spans="1:19" x14ac:dyDescent="0.35">
      <c r="A1122" s="1" t="s">
        <v>204</v>
      </c>
      <c r="B1122" s="1" t="str">
        <f t="shared" si="43"/>
        <v>State Bank of India</v>
      </c>
      <c r="C1122">
        <v>1</v>
      </c>
      <c r="D1122">
        <v>0</v>
      </c>
      <c r="E1122">
        <v>1</v>
      </c>
      <c r="F1122" s="2">
        <v>328.02</v>
      </c>
      <c r="G1122" s="2">
        <v>280</v>
      </c>
      <c r="H1122" s="2">
        <v>0</v>
      </c>
      <c r="I1122" s="2">
        <v>327.02</v>
      </c>
      <c r="J1122" s="2">
        <v>1</v>
      </c>
      <c r="K1122" s="12">
        <v>0</v>
      </c>
      <c r="L1122" s="12">
        <v>1</v>
      </c>
      <c r="M1122" s="12">
        <v>46.02</v>
      </c>
      <c r="N1122" s="4">
        <v>46204</v>
      </c>
      <c r="O1122" s="12" t="str">
        <f t="shared" si="42"/>
        <v>Other</v>
      </c>
      <c r="P1122">
        <v>5959038</v>
      </c>
      <c r="Q1122" s="12">
        <v>4062990453.8299999</v>
      </c>
      <c r="R1122" s="12">
        <v>4062990453.8299999</v>
      </c>
      <c r="S1122">
        <v>13243647</v>
      </c>
    </row>
    <row r="1123" spans="1:19" x14ac:dyDescent="0.35">
      <c r="A1123" s="1" t="s">
        <v>205</v>
      </c>
      <c r="B1123" s="1" t="str">
        <f t="shared" si="43"/>
        <v>Mastercard</v>
      </c>
      <c r="C1123">
        <v>149</v>
      </c>
      <c r="D1123">
        <v>0</v>
      </c>
      <c r="E1123">
        <v>480</v>
      </c>
      <c r="F1123" s="2">
        <v>219021.54</v>
      </c>
      <c r="G1123" s="2">
        <v>219021.54</v>
      </c>
      <c r="H1123" s="2">
        <v>0</v>
      </c>
      <c r="I1123" s="2">
        <v>189301.54</v>
      </c>
      <c r="J1123" s="2">
        <v>29720</v>
      </c>
      <c r="K1123" s="12">
        <v>26748</v>
      </c>
      <c r="L1123" s="12">
        <v>2972</v>
      </c>
      <c r="M1123" s="12">
        <v>0</v>
      </c>
      <c r="N1123" s="4">
        <v>46204</v>
      </c>
      <c r="O1123" s="12" t="str">
        <f t="shared" si="42"/>
        <v>Offline - Box Office</v>
      </c>
      <c r="P1123">
        <v>5959038</v>
      </c>
      <c r="Q1123" s="12">
        <v>4062990453.8299999</v>
      </c>
      <c r="R1123" s="12">
        <v>4062990453.8299999</v>
      </c>
      <c r="S1123">
        <v>13243647</v>
      </c>
    </row>
    <row r="1124" spans="1:19" x14ac:dyDescent="0.35">
      <c r="A1124" s="1" t="s">
        <v>206</v>
      </c>
      <c r="B1124" s="1" t="str">
        <f t="shared" si="43"/>
        <v>Mastercard</v>
      </c>
      <c r="C1124">
        <v>1129</v>
      </c>
      <c r="D1124">
        <v>0</v>
      </c>
      <c r="E1124">
        <v>3758</v>
      </c>
      <c r="F1124" s="2">
        <v>1354632.19</v>
      </c>
      <c r="G1124" s="2">
        <v>0</v>
      </c>
      <c r="H1124" s="2">
        <v>1354632.19</v>
      </c>
      <c r="I1124" s="2">
        <v>1129952.19</v>
      </c>
      <c r="J1124" s="2">
        <v>224680</v>
      </c>
      <c r="K1124" s="12">
        <v>202212</v>
      </c>
      <c r="L1124" s="12">
        <v>22468</v>
      </c>
      <c r="M1124" s="12">
        <v>0</v>
      </c>
      <c r="N1124" s="4">
        <v>46204</v>
      </c>
      <c r="O1124" s="12" t="str">
        <f t="shared" si="42"/>
        <v>Offline - F&amp;B</v>
      </c>
      <c r="P1124">
        <v>5959038</v>
      </c>
      <c r="Q1124" s="12">
        <v>4062990453.8299999</v>
      </c>
      <c r="R1124" s="12">
        <v>4062990453.8299999</v>
      </c>
      <c r="S1124">
        <v>13243647</v>
      </c>
    </row>
    <row r="1125" spans="1:19" x14ac:dyDescent="0.35">
      <c r="A1125" s="1" t="s">
        <v>207</v>
      </c>
      <c r="B1125" s="1" t="str">
        <f t="shared" si="43"/>
        <v>Standard Chartered Bank</v>
      </c>
      <c r="C1125">
        <v>7</v>
      </c>
      <c r="D1125">
        <v>7</v>
      </c>
      <c r="E1125">
        <v>15</v>
      </c>
      <c r="F1125" s="2">
        <v>3200.6</v>
      </c>
      <c r="G1125" s="2">
        <v>3200.6</v>
      </c>
      <c r="H1125" s="2">
        <v>0</v>
      </c>
      <c r="I1125" s="2">
        <v>1962.8</v>
      </c>
      <c r="J1125" s="2">
        <v>1237.8</v>
      </c>
      <c r="K1125" s="12">
        <v>1237.8</v>
      </c>
      <c r="L1125" s="12">
        <v>0</v>
      </c>
      <c r="M1125" s="12">
        <v>0</v>
      </c>
      <c r="N1125" s="4">
        <v>46204</v>
      </c>
      <c r="O1125" s="12" t="str">
        <f t="shared" si="42"/>
        <v>Offline - Box Office</v>
      </c>
      <c r="P1125">
        <v>5959038</v>
      </c>
      <c r="Q1125" s="12">
        <v>4062990453.8299999</v>
      </c>
      <c r="R1125" s="12">
        <v>4062990453.8299999</v>
      </c>
      <c r="S1125">
        <v>13243647</v>
      </c>
    </row>
    <row r="1126" spans="1:19" x14ac:dyDescent="0.35">
      <c r="A1126" s="1" t="s">
        <v>208</v>
      </c>
      <c r="B1126" s="1" t="str">
        <f t="shared" si="43"/>
        <v>Standard Chartered Bank</v>
      </c>
      <c r="C1126">
        <v>38</v>
      </c>
      <c r="D1126">
        <v>38</v>
      </c>
      <c r="E1126">
        <v>83</v>
      </c>
      <c r="F1126" s="2">
        <v>24371.8</v>
      </c>
      <c r="G1126" s="2">
        <v>21011.34</v>
      </c>
      <c r="H1126" s="2">
        <v>0</v>
      </c>
      <c r="I1126" s="2">
        <v>16996</v>
      </c>
      <c r="J1126" s="2">
        <v>7375.8</v>
      </c>
      <c r="K1126" s="12">
        <v>7375.8</v>
      </c>
      <c r="L1126" s="12">
        <v>0</v>
      </c>
      <c r="M1126" s="12">
        <v>3300.46</v>
      </c>
      <c r="N1126" s="4">
        <v>46204</v>
      </c>
      <c r="O1126" s="12" t="str">
        <f t="shared" si="42"/>
        <v>Online</v>
      </c>
      <c r="P1126">
        <v>5959038</v>
      </c>
      <c r="Q1126" s="12">
        <v>4062990453.8299999</v>
      </c>
      <c r="R1126" s="12">
        <v>4062990453.8299999</v>
      </c>
      <c r="S1126">
        <v>13243647</v>
      </c>
    </row>
    <row r="1127" spans="1:19" x14ac:dyDescent="0.35">
      <c r="A1127" s="1" t="s">
        <v>209</v>
      </c>
      <c r="B1127" s="1" t="str">
        <f t="shared" si="43"/>
        <v>HDFC Bank</v>
      </c>
      <c r="C1127">
        <v>9157</v>
      </c>
      <c r="D1127">
        <v>0</v>
      </c>
      <c r="E1127">
        <v>47297</v>
      </c>
      <c r="F1127" s="2">
        <v>20712261.780000001</v>
      </c>
      <c r="G1127" s="2">
        <v>7958627.0999999996</v>
      </c>
      <c r="H1127" s="2">
        <v>12495584.960000001</v>
      </c>
      <c r="I1127" s="2">
        <v>19871787.780000001</v>
      </c>
      <c r="J1127" s="2">
        <v>840474</v>
      </c>
      <c r="K1127" s="12">
        <v>0</v>
      </c>
      <c r="L1127" s="12">
        <v>840474</v>
      </c>
      <c r="M1127" s="12">
        <v>254477.72</v>
      </c>
      <c r="N1127" s="4">
        <v>46204</v>
      </c>
      <c r="O1127" s="12" t="str">
        <f t="shared" si="42"/>
        <v>Other</v>
      </c>
      <c r="P1127">
        <v>5959038</v>
      </c>
      <c r="Q1127" s="12">
        <v>4062990453.8299999</v>
      </c>
      <c r="R1127" s="12">
        <v>4062990453.8299999</v>
      </c>
      <c r="S1127">
        <v>13243647</v>
      </c>
    </row>
    <row r="1128" spans="1:19" x14ac:dyDescent="0.35">
      <c r="A1128" s="1" t="s">
        <v>165</v>
      </c>
      <c r="B1128" s="1" t="str">
        <f t="shared" si="43"/>
        <v>Axis Bank</v>
      </c>
      <c r="C1128">
        <v>174</v>
      </c>
      <c r="D1128">
        <v>0</v>
      </c>
      <c r="E1128">
        <v>377</v>
      </c>
      <c r="F1128" s="2">
        <v>155175.62</v>
      </c>
      <c r="G1128" s="2">
        <v>133246.57999999999</v>
      </c>
      <c r="H1128" s="2">
        <v>4477</v>
      </c>
      <c r="I1128" s="2">
        <v>116504.62</v>
      </c>
      <c r="J1128" s="2">
        <v>38671</v>
      </c>
      <c r="K1128" s="12">
        <v>23202.6</v>
      </c>
      <c r="L1128" s="12">
        <v>15468.4</v>
      </c>
      <c r="M1128" s="12">
        <v>17124.04</v>
      </c>
      <c r="N1128" s="4">
        <v>46235</v>
      </c>
      <c r="O1128" s="12" t="str">
        <f t="shared" si="42"/>
        <v>Online</v>
      </c>
      <c r="P1128">
        <v>7568254</v>
      </c>
      <c r="Q1128" s="12">
        <v>5550782999.1000004</v>
      </c>
      <c r="R1128" s="12">
        <v>5550782999.1000004</v>
      </c>
      <c r="S1128">
        <v>17018642</v>
      </c>
    </row>
    <row r="1129" spans="1:19" x14ac:dyDescent="0.35">
      <c r="A1129" s="1" t="s">
        <v>166</v>
      </c>
      <c r="B1129" s="1" t="str">
        <f t="shared" si="43"/>
        <v>American Express</v>
      </c>
      <c r="C1129">
        <v>313</v>
      </c>
      <c r="D1129">
        <v>313</v>
      </c>
      <c r="E1129">
        <v>832</v>
      </c>
      <c r="F1129" s="2">
        <v>526789.30000000005</v>
      </c>
      <c r="G1129" s="2">
        <v>526789.30000000005</v>
      </c>
      <c r="H1129" s="2">
        <v>0</v>
      </c>
      <c r="I1129" s="2">
        <v>393804.34</v>
      </c>
      <c r="J1129" s="2">
        <v>132984.95999999999</v>
      </c>
      <c r="K1129" s="12">
        <v>66492.479999999996</v>
      </c>
      <c r="L1129" s="12">
        <v>66492.479999999996</v>
      </c>
      <c r="M1129" s="12">
        <v>0</v>
      </c>
      <c r="N1129" s="4">
        <v>46235</v>
      </c>
      <c r="O1129" s="12" t="str">
        <f t="shared" si="42"/>
        <v>Offline - Box Office</v>
      </c>
      <c r="P1129">
        <v>7568254</v>
      </c>
      <c r="Q1129" s="12">
        <v>5550782999.1000004</v>
      </c>
      <c r="R1129" s="12">
        <v>5550782999.1000004</v>
      </c>
      <c r="S1129">
        <v>17018642</v>
      </c>
    </row>
    <row r="1130" spans="1:19" x14ac:dyDescent="0.35">
      <c r="A1130" s="1" t="s">
        <v>167</v>
      </c>
      <c r="B1130" s="1" t="str">
        <f t="shared" si="43"/>
        <v>American Express</v>
      </c>
      <c r="C1130">
        <v>2140</v>
      </c>
      <c r="D1130">
        <v>2140</v>
      </c>
      <c r="E1130">
        <v>5386</v>
      </c>
      <c r="F1130" s="2">
        <v>4117046.1</v>
      </c>
      <c r="G1130" s="2">
        <v>3739709.24</v>
      </c>
      <c r="H1130" s="2">
        <v>29883</v>
      </c>
      <c r="I1130" s="2">
        <v>3181351.3</v>
      </c>
      <c r="J1130" s="2">
        <v>935694.8</v>
      </c>
      <c r="K1130" s="12">
        <v>467847.49</v>
      </c>
      <c r="L1130" s="12">
        <v>467847.49</v>
      </c>
      <c r="M1130" s="12">
        <v>340711.86</v>
      </c>
      <c r="N1130" s="4">
        <v>46235</v>
      </c>
      <c r="O1130" s="12" t="str">
        <f t="shared" si="42"/>
        <v>Online</v>
      </c>
      <c r="P1130">
        <v>7568254</v>
      </c>
      <c r="Q1130" s="12">
        <v>5550782999.1000004</v>
      </c>
      <c r="R1130" s="12">
        <v>5550782999.1000004</v>
      </c>
      <c r="S1130">
        <v>17018642</v>
      </c>
    </row>
    <row r="1131" spans="1:19" x14ac:dyDescent="0.35">
      <c r="A1131" s="1" t="s">
        <v>168</v>
      </c>
      <c r="B1131" s="1" t="str">
        <f t="shared" si="43"/>
        <v>Axis Bank</v>
      </c>
      <c r="C1131">
        <v>25</v>
      </c>
      <c r="D1131">
        <v>25</v>
      </c>
      <c r="E1131">
        <v>66</v>
      </c>
      <c r="F1131" s="2">
        <v>19505.2</v>
      </c>
      <c r="G1131" s="2">
        <v>19505.2</v>
      </c>
      <c r="H1131" s="2">
        <v>0</v>
      </c>
      <c r="I1131" s="2">
        <v>14693.6</v>
      </c>
      <c r="J1131" s="2">
        <v>4811.6000000000004</v>
      </c>
      <c r="K1131" s="12">
        <v>4234.2</v>
      </c>
      <c r="L1131" s="12">
        <v>577.4</v>
      </c>
      <c r="M1131" s="12">
        <v>0</v>
      </c>
      <c r="N1131" s="4">
        <v>46235</v>
      </c>
      <c r="O1131" s="12" t="str">
        <f t="shared" si="42"/>
        <v>Offline - Box Office</v>
      </c>
      <c r="P1131">
        <v>7568254</v>
      </c>
      <c r="Q1131" s="12">
        <v>5550782999.1000004</v>
      </c>
      <c r="R1131" s="12">
        <v>5550782999.1000004</v>
      </c>
      <c r="S1131">
        <v>17018642</v>
      </c>
    </row>
    <row r="1132" spans="1:19" x14ac:dyDescent="0.35">
      <c r="A1132" s="1" t="s">
        <v>169</v>
      </c>
      <c r="B1132" s="1" t="str">
        <f t="shared" si="43"/>
        <v>Axis Bank</v>
      </c>
      <c r="C1132">
        <v>52</v>
      </c>
      <c r="D1132">
        <v>52</v>
      </c>
      <c r="E1132">
        <v>122</v>
      </c>
      <c r="F1132" s="2">
        <v>48441.88</v>
      </c>
      <c r="G1132" s="2">
        <v>42007.6</v>
      </c>
      <c r="H1132" s="2">
        <v>634</v>
      </c>
      <c r="I1132" s="2">
        <v>38554.480000000003</v>
      </c>
      <c r="J1132" s="2">
        <v>9887.4</v>
      </c>
      <c r="K1132" s="12">
        <v>8404.2900000000009</v>
      </c>
      <c r="L1132" s="12">
        <v>1483.11</v>
      </c>
      <c r="M1132" s="12">
        <v>5684.28</v>
      </c>
      <c r="N1132" s="4">
        <v>46235</v>
      </c>
      <c r="O1132" s="12" t="str">
        <f t="shared" si="42"/>
        <v>Online</v>
      </c>
      <c r="P1132">
        <v>7568254</v>
      </c>
      <c r="Q1132" s="12">
        <v>5550782999.1000004</v>
      </c>
      <c r="R1132" s="12">
        <v>5550782999.1000004</v>
      </c>
      <c r="S1132">
        <v>17018642</v>
      </c>
    </row>
    <row r="1133" spans="1:19" x14ac:dyDescent="0.35">
      <c r="A1133" s="1" t="s">
        <v>170</v>
      </c>
      <c r="B1133" s="1" t="str">
        <f t="shared" si="43"/>
        <v>Axis Bank</v>
      </c>
      <c r="C1133">
        <v>297</v>
      </c>
      <c r="D1133">
        <v>297</v>
      </c>
      <c r="E1133">
        <v>744</v>
      </c>
      <c r="F1133" s="2">
        <v>221551.79</v>
      </c>
      <c r="G1133" s="2">
        <v>221551.79</v>
      </c>
      <c r="H1133" s="2">
        <v>0</v>
      </c>
      <c r="I1133" s="2">
        <v>164726.64000000001</v>
      </c>
      <c r="J1133" s="2">
        <v>56825.15</v>
      </c>
      <c r="K1133" s="12">
        <v>50006.01</v>
      </c>
      <c r="L1133" s="12">
        <v>6819.14</v>
      </c>
      <c r="M1133" s="12">
        <v>0</v>
      </c>
      <c r="N1133" s="4">
        <v>46235</v>
      </c>
      <c r="O1133" s="12" t="str">
        <f t="shared" si="42"/>
        <v>Offline - Box Office</v>
      </c>
      <c r="P1133">
        <v>7568254</v>
      </c>
      <c r="Q1133" s="12">
        <v>5550782999.1000004</v>
      </c>
      <c r="R1133" s="12">
        <v>5550782999.1000004</v>
      </c>
      <c r="S1133">
        <v>17018642</v>
      </c>
    </row>
    <row r="1134" spans="1:19" x14ac:dyDescent="0.35">
      <c r="A1134" s="1" t="s">
        <v>171</v>
      </c>
      <c r="B1134" s="1" t="str">
        <f t="shared" si="43"/>
        <v>Axis Bank</v>
      </c>
      <c r="C1134">
        <v>2110</v>
      </c>
      <c r="D1134">
        <v>2110</v>
      </c>
      <c r="E1134">
        <v>4970</v>
      </c>
      <c r="F1134" s="2">
        <v>1685806.09</v>
      </c>
      <c r="G1134" s="2">
        <v>1461356.81</v>
      </c>
      <c r="H1134" s="2">
        <v>13193</v>
      </c>
      <c r="I1134" s="2">
        <v>1280620.29</v>
      </c>
      <c r="J1134" s="2">
        <v>405185.8</v>
      </c>
      <c r="K1134" s="12">
        <v>344407.95</v>
      </c>
      <c r="L1134" s="12">
        <v>60777.85</v>
      </c>
      <c r="M1134" s="12">
        <v>207302.28</v>
      </c>
      <c r="N1134" s="4">
        <v>46235</v>
      </c>
      <c r="O1134" s="12" t="str">
        <f t="shared" si="42"/>
        <v>Online</v>
      </c>
      <c r="P1134">
        <v>7568254</v>
      </c>
      <c r="Q1134" s="12">
        <v>5550782999.1000004</v>
      </c>
      <c r="R1134" s="12">
        <v>5550782999.1000004</v>
      </c>
      <c r="S1134">
        <v>17018642</v>
      </c>
    </row>
    <row r="1135" spans="1:19" x14ac:dyDescent="0.35">
      <c r="A1135" s="1" t="s">
        <v>172</v>
      </c>
      <c r="B1135" s="1" t="str">
        <f t="shared" si="43"/>
        <v>Kotak Mahindra Bank</v>
      </c>
      <c r="C1135">
        <v>554</v>
      </c>
      <c r="D1135">
        <v>554</v>
      </c>
      <c r="E1135">
        <v>1396</v>
      </c>
      <c r="F1135" s="2">
        <v>567101.26</v>
      </c>
      <c r="G1135" s="2">
        <v>490020.4</v>
      </c>
      <c r="H1135" s="2">
        <v>10367</v>
      </c>
      <c r="I1135" s="2">
        <v>439218.23</v>
      </c>
      <c r="J1135" s="2">
        <v>127883.03</v>
      </c>
      <c r="K1135" s="12">
        <v>127883.03</v>
      </c>
      <c r="L1135" s="12">
        <v>0</v>
      </c>
      <c r="M1135" s="12">
        <v>65037.86</v>
      </c>
      <c r="N1135" s="4">
        <v>46235</v>
      </c>
      <c r="O1135" s="12" t="str">
        <f t="shared" si="42"/>
        <v>Online</v>
      </c>
      <c r="P1135">
        <v>7568254</v>
      </c>
      <c r="Q1135" s="12">
        <v>5550782999.1000004</v>
      </c>
      <c r="R1135" s="12">
        <v>5550782999.1000004</v>
      </c>
      <c r="S1135">
        <v>17018642</v>
      </c>
    </row>
    <row r="1136" spans="1:19" x14ac:dyDescent="0.35">
      <c r="A1136" s="1" t="s">
        <v>173</v>
      </c>
      <c r="B1136" s="1" t="str">
        <f t="shared" si="43"/>
        <v>Kotak Mahindra Bank</v>
      </c>
      <c r="C1136">
        <v>523</v>
      </c>
      <c r="D1136">
        <v>523</v>
      </c>
      <c r="E1136">
        <v>1215</v>
      </c>
      <c r="F1136" s="2">
        <v>653551.48</v>
      </c>
      <c r="G1136" s="2">
        <v>576704.48</v>
      </c>
      <c r="H1136" s="2">
        <v>8437</v>
      </c>
      <c r="I1136" s="2">
        <v>449868.92</v>
      </c>
      <c r="J1136" s="2">
        <v>203682.56</v>
      </c>
      <c r="K1136" s="12">
        <v>203682.56</v>
      </c>
      <c r="L1136" s="12">
        <v>0</v>
      </c>
      <c r="M1136" s="12">
        <v>66994</v>
      </c>
      <c r="N1136" s="4">
        <v>46235</v>
      </c>
      <c r="O1136" s="12" t="str">
        <f t="shared" si="42"/>
        <v>Online</v>
      </c>
      <c r="P1136">
        <v>7568254</v>
      </c>
      <c r="Q1136" s="12">
        <v>5550782999.1000004</v>
      </c>
      <c r="R1136" s="12">
        <v>5550782999.1000004</v>
      </c>
      <c r="S1136">
        <v>17018642</v>
      </c>
    </row>
    <row r="1137" spans="1:19" x14ac:dyDescent="0.35">
      <c r="A1137" s="1" t="s">
        <v>174</v>
      </c>
      <c r="B1137" s="1" t="str">
        <f t="shared" si="43"/>
        <v>Federal Bank</v>
      </c>
      <c r="C1137">
        <v>74</v>
      </c>
      <c r="D1137">
        <v>74</v>
      </c>
      <c r="E1137">
        <v>201</v>
      </c>
      <c r="F1137" s="2">
        <v>64823.72</v>
      </c>
      <c r="G1137" s="2">
        <v>64823.72</v>
      </c>
      <c r="H1137" s="2">
        <v>0</v>
      </c>
      <c r="I1137" s="2">
        <v>57423.72</v>
      </c>
      <c r="J1137" s="2">
        <v>7400</v>
      </c>
      <c r="K1137" s="12">
        <v>7400</v>
      </c>
      <c r="L1137" s="12">
        <v>0</v>
      </c>
      <c r="M1137" s="12">
        <v>0</v>
      </c>
      <c r="N1137" s="4">
        <v>46235</v>
      </c>
      <c r="O1137" s="12" t="str">
        <f t="shared" si="42"/>
        <v>Offline - Box Office</v>
      </c>
      <c r="P1137">
        <v>7568254</v>
      </c>
      <c r="Q1137" s="12">
        <v>5550782999.1000004</v>
      </c>
      <c r="R1137" s="12">
        <v>5550782999.1000004</v>
      </c>
      <c r="S1137">
        <v>17018642</v>
      </c>
    </row>
    <row r="1138" spans="1:19" x14ac:dyDescent="0.35">
      <c r="A1138" s="1" t="s">
        <v>175</v>
      </c>
      <c r="B1138" s="1" t="str">
        <f t="shared" si="43"/>
        <v>Federal Bank</v>
      </c>
      <c r="C1138">
        <v>220</v>
      </c>
      <c r="D1138">
        <v>220</v>
      </c>
      <c r="E1138">
        <v>581</v>
      </c>
      <c r="F1138" s="2">
        <v>199685.57</v>
      </c>
      <c r="G1138" s="2">
        <v>169201.29</v>
      </c>
      <c r="H1138" s="2">
        <v>4328</v>
      </c>
      <c r="I1138" s="2">
        <v>177734.22</v>
      </c>
      <c r="J1138" s="2">
        <v>21951.35</v>
      </c>
      <c r="K1138" s="12">
        <v>21951.35</v>
      </c>
      <c r="L1138" s="12">
        <v>0</v>
      </c>
      <c r="M1138" s="12">
        <v>25660.28</v>
      </c>
      <c r="N1138" s="4">
        <v>46235</v>
      </c>
      <c r="O1138" s="12" t="str">
        <f t="shared" si="42"/>
        <v>Online</v>
      </c>
      <c r="P1138">
        <v>7568254</v>
      </c>
      <c r="Q1138" s="12">
        <v>5550782999.1000004</v>
      </c>
      <c r="R1138" s="12">
        <v>5550782999.1000004</v>
      </c>
      <c r="S1138">
        <v>17018642</v>
      </c>
    </row>
    <row r="1139" spans="1:19" x14ac:dyDescent="0.35">
      <c r="A1139" s="1" t="s">
        <v>176</v>
      </c>
      <c r="B1139" s="1" t="str">
        <f t="shared" si="43"/>
        <v>Federal Bank</v>
      </c>
      <c r="C1139">
        <v>243</v>
      </c>
      <c r="D1139">
        <v>243</v>
      </c>
      <c r="E1139">
        <v>685</v>
      </c>
      <c r="F1139" s="2">
        <v>183698.23</v>
      </c>
      <c r="G1139" s="2">
        <v>183698.23</v>
      </c>
      <c r="H1139" s="2">
        <v>0</v>
      </c>
      <c r="I1139" s="2">
        <v>159456.88</v>
      </c>
      <c r="J1139" s="2">
        <v>24241.35</v>
      </c>
      <c r="K1139" s="12">
        <v>24241.35</v>
      </c>
      <c r="L1139" s="12">
        <v>0</v>
      </c>
      <c r="M1139" s="12">
        <v>0</v>
      </c>
      <c r="N1139" s="4">
        <v>46235</v>
      </c>
      <c r="O1139" s="12" t="str">
        <f t="shared" si="42"/>
        <v>Offline - Box Office</v>
      </c>
      <c r="P1139">
        <v>7568254</v>
      </c>
      <c r="Q1139" s="12">
        <v>5550782999.1000004</v>
      </c>
      <c r="R1139" s="12">
        <v>5550782999.1000004</v>
      </c>
      <c r="S1139">
        <v>17018642</v>
      </c>
    </row>
    <row r="1140" spans="1:19" x14ac:dyDescent="0.35">
      <c r="A1140" s="1" t="s">
        <v>177</v>
      </c>
      <c r="B1140" s="1" t="str">
        <f t="shared" si="43"/>
        <v>Federal Bank</v>
      </c>
      <c r="C1140">
        <v>556</v>
      </c>
      <c r="D1140">
        <v>556</v>
      </c>
      <c r="E1140">
        <v>1387</v>
      </c>
      <c r="F1140" s="2">
        <v>430616.04</v>
      </c>
      <c r="G1140" s="2">
        <v>366055.14</v>
      </c>
      <c r="H1140" s="2">
        <v>6480</v>
      </c>
      <c r="I1140" s="2">
        <v>375198.64</v>
      </c>
      <c r="J1140" s="2">
        <v>55417.4</v>
      </c>
      <c r="K1140" s="12">
        <v>55417.4</v>
      </c>
      <c r="L1140" s="12">
        <v>0</v>
      </c>
      <c r="M1140" s="12">
        <v>56880.9</v>
      </c>
      <c r="N1140" s="4">
        <v>46235</v>
      </c>
      <c r="O1140" s="12" t="str">
        <f t="shared" si="42"/>
        <v>Online</v>
      </c>
      <c r="P1140">
        <v>7568254</v>
      </c>
      <c r="Q1140" s="12">
        <v>5550782999.1000004</v>
      </c>
      <c r="R1140" s="12">
        <v>5550782999.1000004</v>
      </c>
      <c r="S1140">
        <v>17018642</v>
      </c>
    </row>
    <row r="1141" spans="1:19" x14ac:dyDescent="0.35">
      <c r="A1141" s="1" t="s">
        <v>178</v>
      </c>
      <c r="B1141" s="1" t="str">
        <f t="shared" si="43"/>
        <v>AU Bank</v>
      </c>
      <c r="C1141">
        <v>466</v>
      </c>
      <c r="D1141">
        <v>466</v>
      </c>
      <c r="E1141">
        <v>1361</v>
      </c>
      <c r="F1141" s="2">
        <v>479884</v>
      </c>
      <c r="G1141" s="2">
        <v>479884</v>
      </c>
      <c r="H1141" s="2">
        <v>0</v>
      </c>
      <c r="I1141" s="2">
        <v>421706</v>
      </c>
      <c r="J1141" s="2">
        <v>58178</v>
      </c>
      <c r="K1141" s="12">
        <v>40724.6</v>
      </c>
      <c r="L1141" s="12">
        <v>17453.400000000001</v>
      </c>
      <c r="M1141" s="12">
        <v>0</v>
      </c>
      <c r="N1141" s="4">
        <v>46235</v>
      </c>
      <c r="O1141" s="12" t="str">
        <f t="shared" si="42"/>
        <v>Offline - Box Office</v>
      </c>
      <c r="P1141">
        <v>7568254</v>
      </c>
      <c r="Q1141" s="12">
        <v>5550782999.1000004</v>
      </c>
      <c r="R1141" s="12">
        <v>5550782999.1000004</v>
      </c>
      <c r="S1141">
        <v>17018642</v>
      </c>
    </row>
    <row r="1142" spans="1:19" x14ac:dyDescent="0.35">
      <c r="A1142" s="1" t="s">
        <v>179</v>
      </c>
      <c r="B1142" s="1" t="str">
        <f t="shared" si="43"/>
        <v>AU Bank</v>
      </c>
      <c r="C1142">
        <v>741</v>
      </c>
      <c r="D1142">
        <v>741</v>
      </c>
      <c r="E1142">
        <v>1797</v>
      </c>
      <c r="F1142" s="2">
        <v>766150.02</v>
      </c>
      <c r="G1142" s="2">
        <v>669990.56000000006</v>
      </c>
      <c r="H1142" s="2">
        <v>3069</v>
      </c>
      <c r="I1142" s="2">
        <v>673577.02</v>
      </c>
      <c r="J1142" s="2">
        <v>92573</v>
      </c>
      <c r="K1142" s="12">
        <v>64801.1</v>
      </c>
      <c r="L1142" s="12">
        <v>27771.9</v>
      </c>
      <c r="M1142" s="12">
        <v>91456.46</v>
      </c>
      <c r="N1142" s="4">
        <v>46235</v>
      </c>
      <c r="O1142" s="12" t="str">
        <f t="shared" si="42"/>
        <v>Online</v>
      </c>
      <c r="P1142">
        <v>7568254</v>
      </c>
      <c r="Q1142" s="12">
        <v>5550782999.1000004</v>
      </c>
      <c r="R1142" s="12">
        <v>5550782999.1000004</v>
      </c>
      <c r="S1142">
        <v>17018642</v>
      </c>
    </row>
    <row r="1143" spans="1:19" x14ac:dyDescent="0.35">
      <c r="A1143" s="1" t="s">
        <v>180</v>
      </c>
      <c r="B1143" s="1" t="str">
        <f t="shared" si="43"/>
        <v>HDFC Bank</v>
      </c>
      <c r="C1143">
        <v>72</v>
      </c>
      <c r="D1143">
        <v>0</v>
      </c>
      <c r="E1143">
        <v>85</v>
      </c>
      <c r="F1143" s="2">
        <v>56210</v>
      </c>
      <c r="G1143" s="2">
        <v>0</v>
      </c>
      <c r="H1143" s="2">
        <v>56210</v>
      </c>
      <c r="I1143" s="2">
        <v>49010</v>
      </c>
      <c r="J1143" s="2">
        <v>7200</v>
      </c>
      <c r="K1143" s="12">
        <v>7200</v>
      </c>
      <c r="L1143" s="12">
        <v>0</v>
      </c>
      <c r="M1143" s="12">
        <v>0</v>
      </c>
      <c r="N1143" s="4">
        <v>46235</v>
      </c>
      <c r="O1143" s="12" t="str">
        <f t="shared" si="42"/>
        <v>Offline - F&amp;B</v>
      </c>
      <c r="P1143">
        <v>7568254</v>
      </c>
      <c r="Q1143" s="12">
        <v>5550782999.1000004</v>
      </c>
      <c r="R1143" s="12">
        <v>5550782999.1000004</v>
      </c>
      <c r="S1143">
        <v>17018642</v>
      </c>
    </row>
    <row r="1144" spans="1:19" x14ac:dyDescent="0.35">
      <c r="A1144" s="1" t="s">
        <v>181</v>
      </c>
      <c r="B1144" s="1" t="str">
        <f t="shared" si="43"/>
        <v>ICICI Bank</v>
      </c>
      <c r="C1144">
        <v>2686</v>
      </c>
      <c r="D1144">
        <v>0</v>
      </c>
      <c r="E1144">
        <v>7492</v>
      </c>
      <c r="F1144" s="2">
        <v>2238447.1800000002</v>
      </c>
      <c r="G1144" s="2">
        <v>2238447.1800000002</v>
      </c>
      <c r="H1144" s="2">
        <v>0</v>
      </c>
      <c r="I1144" s="2">
        <v>1954023.18</v>
      </c>
      <c r="J1144" s="2">
        <v>284424</v>
      </c>
      <c r="K1144" s="12">
        <v>250293.12</v>
      </c>
      <c r="L1144" s="12">
        <v>34130.879999999997</v>
      </c>
      <c r="M1144" s="12">
        <v>0</v>
      </c>
      <c r="N1144" s="4">
        <v>46235</v>
      </c>
      <c r="O1144" s="12" t="str">
        <f t="shared" si="42"/>
        <v>Offline - Box Office</v>
      </c>
      <c r="P1144">
        <v>7568254</v>
      </c>
      <c r="Q1144" s="12">
        <v>5550782999.1000004</v>
      </c>
      <c r="R1144" s="12">
        <v>5550782999.1000004</v>
      </c>
      <c r="S1144">
        <v>17018642</v>
      </c>
    </row>
    <row r="1145" spans="1:19" x14ac:dyDescent="0.35">
      <c r="A1145" s="1" t="s">
        <v>182</v>
      </c>
      <c r="B1145" s="1" t="str">
        <f t="shared" si="43"/>
        <v>ICICI Bank</v>
      </c>
      <c r="C1145">
        <v>1521</v>
      </c>
      <c r="D1145">
        <v>0</v>
      </c>
      <c r="E1145">
        <v>4083</v>
      </c>
      <c r="F1145" s="2">
        <v>1421054.45</v>
      </c>
      <c r="G1145" s="2">
        <v>1223988.17</v>
      </c>
      <c r="H1145" s="2">
        <v>22426</v>
      </c>
      <c r="I1145" s="2">
        <v>1256619.45</v>
      </c>
      <c r="J1145" s="2">
        <v>164435</v>
      </c>
      <c r="K1145" s="12">
        <v>139769.75</v>
      </c>
      <c r="L1145" s="12">
        <v>24665.25</v>
      </c>
      <c r="M1145" s="12">
        <v>171064.28</v>
      </c>
      <c r="N1145" s="4">
        <v>46235</v>
      </c>
      <c r="O1145" s="12" t="str">
        <f t="shared" si="42"/>
        <v>Online</v>
      </c>
      <c r="P1145">
        <v>7568254</v>
      </c>
      <c r="Q1145" s="12">
        <v>5550782999.1000004</v>
      </c>
      <c r="R1145" s="12">
        <v>5550782999.1000004</v>
      </c>
      <c r="S1145">
        <v>17018642</v>
      </c>
    </row>
    <row r="1146" spans="1:19" x14ac:dyDescent="0.35">
      <c r="A1146" s="1" t="s">
        <v>183</v>
      </c>
      <c r="B1146" s="1" t="str">
        <f t="shared" si="43"/>
        <v>ICICI Bank</v>
      </c>
      <c r="C1146">
        <v>60</v>
      </c>
      <c r="D1146">
        <v>0</v>
      </c>
      <c r="E1146">
        <v>187</v>
      </c>
      <c r="F1146" s="2">
        <v>62057.599999999999</v>
      </c>
      <c r="G1146" s="2">
        <v>62057.599999999999</v>
      </c>
      <c r="H1146" s="2">
        <v>0</v>
      </c>
      <c r="I1146" s="2">
        <v>57709.599999999999</v>
      </c>
      <c r="J1146" s="2">
        <v>4348</v>
      </c>
      <c r="K1146" s="12">
        <v>3826.24</v>
      </c>
      <c r="L1146" s="12">
        <v>521.76</v>
      </c>
      <c r="M1146" s="12">
        <v>0</v>
      </c>
      <c r="N1146" s="4">
        <v>46235</v>
      </c>
      <c r="O1146" s="12" t="str">
        <f t="shared" si="42"/>
        <v>Offline - Box Office</v>
      </c>
      <c r="P1146">
        <v>7568254</v>
      </c>
      <c r="Q1146" s="12">
        <v>5550782999.1000004</v>
      </c>
      <c r="R1146" s="12">
        <v>5550782999.1000004</v>
      </c>
      <c r="S1146">
        <v>17018642</v>
      </c>
    </row>
    <row r="1147" spans="1:19" x14ac:dyDescent="0.35">
      <c r="A1147" s="1" t="s">
        <v>184</v>
      </c>
      <c r="B1147" s="1" t="str">
        <f t="shared" si="43"/>
        <v>ICICI Bank</v>
      </c>
      <c r="C1147">
        <v>36</v>
      </c>
      <c r="D1147">
        <v>0</v>
      </c>
      <c r="E1147">
        <v>100</v>
      </c>
      <c r="F1147" s="2">
        <v>37867.660000000003</v>
      </c>
      <c r="G1147" s="2">
        <v>32923.08</v>
      </c>
      <c r="H1147" s="2">
        <v>535</v>
      </c>
      <c r="I1147" s="2">
        <v>34962.660000000003</v>
      </c>
      <c r="J1147" s="2">
        <v>2905</v>
      </c>
      <c r="K1147" s="12">
        <v>2469.25</v>
      </c>
      <c r="L1147" s="12">
        <v>435.75</v>
      </c>
      <c r="M1147" s="12">
        <v>4343.58</v>
      </c>
      <c r="N1147" s="4">
        <v>46235</v>
      </c>
      <c r="O1147" s="12" t="str">
        <f t="shared" si="42"/>
        <v>Online</v>
      </c>
      <c r="P1147">
        <v>7568254</v>
      </c>
      <c r="Q1147" s="12">
        <v>5550782999.1000004</v>
      </c>
      <c r="R1147" s="12">
        <v>5550782999.1000004</v>
      </c>
      <c r="S1147">
        <v>17018642</v>
      </c>
    </row>
    <row r="1148" spans="1:19" x14ac:dyDescent="0.35">
      <c r="A1148" s="1" t="s">
        <v>185</v>
      </c>
      <c r="B1148" s="1" t="str">
        <f t="shared" si="43"/>
        <v>IDBI Bank</v>
      </c>
      <c r="C1148">
        <v>98</v>
      </c>
      <c r="D1148">
        <v>0</v>
      </c>
      <c r="E1148">
        <v>256</v>
      </c>
      <c r="F1148" s="2">
        <v>103626.72</v>
      </c>
      <c r="G1148" s="2">
        <v>103626.72</v>
      </c>
      <c r="H1148" s="2">
        <v>0</v>
      </c>
      <c r="I1148" s="2">
        <v>87071.72</v>
      </c>
      <c r="J1148" s="2">
        <v>16555</v>
      </c>
      <c r="K1148" s="12">
        <v>11588.5</v>
      </c>
      <c r="L1148" s="12">
        <v>4966.5</v>
      </c>
      <c r="M1148" s="12">
        <v>0</v>
      </c>
      <c r="N1148" s="4">
        <v>46235</v>
      </c>
      <c r="O1148" s="12" t="str">
        <f t="shared" si="42"/>
        <v>Offline - Box Office</v>
      </c>
      <c r="P1148">
        <v>7568254</v>
      </c>
      <c r="Q1148" s="12">
        <v>5550782999.1000004</v>
      </c>
      <c r="R1148" s="12">
        <v>5550782999.1000004</v>
      </c>
      <c r="S1148">
        <v>17018642</v>
      </c>
    </row>
    <row r="1149" spans="1:19" x14ac:dyDescent="0.35">
      <c r="A1149" s="1" t="s">
        <v>186</v>
      </c>
      <c r="B1149" s="1" t="str">
        <f t="shared" si="43"/>
        <v>IDBI Bank</v>
      </c>
      <c r="C1149">
        <v>77</v>
      </c>
      <c r="D1149">
        <v>0</v>
      </c>
      <c r="E1149">
        <v>173</v>
      </c>
      <c r="F1149" s="2">
        <v>70970.03</v>
      </c>
      <c r="G1149" s="2">
        <v>60488.35</v>
      </c>
      <c r="H1149" s="2">
        <v>2833</v>
      </c>
      <c r="I1149" s="2">
        <v>59238.03</v>
      </c>
      <c r="J1149" s="2">
        <v>11732</v>
      </c>
      <c r="K1149" s="12">
        <v>8212.4</v>
      </c>
      <c r="L1149" s="12">
        <v>3519.6</v>
      </c>
      <c r="M1149" s="12">
        <v>7504.68</v>
      </c>
      <c r="N1149" s="4">
        <v>46235</v>
      </c>
      <c r="O1149" s="12" t="str">
        <f t="shared" si="42"/>
        <v>Online</v>
      </c>
      <c r="P1149">
        <v>7568254</v>
      </c>
      <c r="Q1149" s="12">
        <v>5550782999.1000004</v>
      </c>
      <c r="R1149" s="12">
        <v>5550782999.1000004</v>
      </c>
      <c r="S1149">
        <v>17018642</v>
      </c>
    </row>
    <row r="1150" spans="1:19" x14ac:dyDescent="0.35">
      <c r="A1150" s="1" t="s">
        <v>187</v>
      </c>
      <c r="B1150" s="1" t="str">
        <f t="shared" si="43"/>
        <v>IDBI Bank</v>
      </c>
      <c r="C1150">
        <v>270</v>
      </c>
      <c r="D1150">
        <v>0</v>
      </c>
      <c r="E1150">
        <v>813</v>
      </c>
      <c r="F1150" s="2">
        <v>267655.06</v>
      </c>
      <c r="G1150" s="2">
        <v>0</v>
      </c>
      <c r="H1150" s="2">
        <v>267655.06</v>
      </c>
      <c r="I1150" s="2">
        <v>221064.06</v>
      </c>
      <c r="J1150" s="2">
        <v>46591</v>
      </c>
      <c r="K1150" s="12">
        <v>32613.7</v>
      </c>
      <c r="L1150" s="12">
        <v>13977.3</v>
      </c>
      <c r="M1150" s="12">
        <v>0</v>
      </c>
      <c r="N1150" s="4">
        <v>46235</v>
      </c>
      <c r="O1150" s="12" t="str">
        <f t="shared" si="42"/>
        <v>Offline - F&amp;B</v>
      </c>
      <c r="P1150">
        <v>7568254</v>
      </c>
      <c r="Q1150" s="12">
        <v>5550782999.1000004</v>
      </c>
      <c r="R1150" s="12">
        <v>5550782999.1000004</v>
      </c>
      <c r="S1150">
        <v>17018642</v>
      </c>
    </row>
    <row r="1151" spans="1:19" x14ac:dyDescent="0.35">
      <c r="A1151" s="1" t="s">
        <v>188</v>
      </c>
      <c r="B1151" s="1" t="str">
        <f t="shared" si="43"/>
        <v>IDBI Bank</v>
      </c>
      <c r="C1151">
        <v>2</v>
      </c>
      <c r="D1151">
        <v>0</v>
      </c>
      <c r="E1151">
        <v>7</v>
      </c>
      <c r="F1151" s="2">
        <v>5666.26</v>
      </c>
      <c r="G1151" s="2">
        <v>5180</v>
      </c>
      <c r="H1151" s="2">
        <v>0</v>
      </c>
      <c r="I1151" s="2">
        <v>4889.26</v>
      </c>
      <c r="J1151" s="2">
        <v>777</v>
      </c>
      <c r="K1151" s="12">
        <v>543.9</v>
      </c>
      <c r="L1151" s="12">
        <v>233.1</v>
      </c>
      <c r="M1151" s="12">
        <v>480.26</v>
      </c>
      <c r="N1151" s="4">
        <v>46235</v>
      </c>
      <c r="O1151" s="12" t="str">
        <f t="shared" si="42"/>
        <v>Online</v>
      </c>
      <c r="P1151">
        <v>7568254</v>
      </c>
      <c r="Q1151" s="12">
        <v>5550782999.1000004</v>
      </c>
      <c r="R1151" s="12">
        <v>5550782999.1000004</v>
      </c>
      <c r="S1151">
        <v>17018642</v>
      </c>
    </row>
    <row r="1152" spans="1:19" x14ac:dyDescent="0.35">
      <c r="A1152" s="1" t="s">
        <v>189</v>
      </c>
      <c r="B1152" s="1" t="str">
        <f t="shared" si="43"/>
        <v>IDBI Bank</v>
      </c>
      <c r="C1152">
        <v>67</v>
      </c>
      <c r="D1152">
        <v>0</v>
      </c>
      <c r="E1152">
        <v>182</v>
      </c>
      <c r="F1152" s="2">
        <v>64253.34</v>
      </c>
      <c r="G1152" s="2">
        <v>53439.48</v>
      </c>
      <c r="H1152" s="2">
        <v>2799</v>
      </c>
      <c r="I1152" s="2">
        <v>54263.34</v>
      </c>
      <c r="J1152" s="2">
        <v>9990</v>
      </c>
      <c r="K1152" s="12">
        <v>9490.5</v>
      </c>
      <c r="L1152" s="12">
        <v>499.5</v>
      </c>
      <c r="M1152" s="12">
        <v>7836.86</v>
      </c>
      <c r="N1152" s="4">
        <v>46235</v>
      </c>
      <c r="O1152" s="12" t="str">
        <f t="shared" si="42"/>
        <v>Online</v>
      </c>
      <c r="P1152">
        <v>7568254</v>
      </c>
      <c r="Q1152" s="12">
        <v>5550782999.1000004</v>
      </c>
      <c r="R1152" s="12">
        <v>5550782999.1000004</v>
      </c>
      <c r="S1152">
        <v>17018642</v>
      </c>
    </row>
    <row r="1153" spans="1:19" x14ac:dyDescent="0.35">
      <c r="A1153" s="1" t="s">
        <v>190</v>
      </c>
      <c r="B1153" s="1" t="str">
        <f t="shared" si="43"/>
        <v>Punjab National Bank</v>
      </c>
      <c r="C1153">
        <v>58</v>
      </c>
      <c r="D1153">
        <v>0</v>
      </c>
      <c r="E1153">
        <v>88</v>
      </c>
      <c r="F1153" s="2">
        <v>44279.9</v>
      </c>
      <c r="G1153" s="2">
        <v>43535</v>
      </c>
      <c r="H1153" s="2">
        <v>680</v>
      </c>
      <c r="I1153" s="2">
        <v>35515.9</v>
      </c>
      <c r="J1153" s="2">
        <v>8764</v>
      </c>
      <c r="K1153" s="12">
        <v>7449.4</v>
      </c>
      <c r="L1153" s="12">
        <v>1314.6</v>
      </c>
      <c r="M1153" s="12">
        <v>64.900000000000006</v>
      </c>
      <c r="N1153" s="4">
        <v>46235</v>
      </c>
      <c r="O1153" s="12" t="str">
        <f t="shared" si="42"/>
        <v>Online</v>
      </c>
      <c r="P1153">
        <v>7568254</v>
      </c>
      <c r="Q1153" s="12">
        <v>5550782999.1000004</v>
      </c>
      <c r="R1153" s="12">
        <v>5550782999.1000004</v>
      </c>
      <c r="S1153">
        <v>17018642</v>
      </c>
    </row>
    <row r="1154" spans="1:19" x14ac:dyDescent="0.35">
      <c r="A1154" s="1" t="s">
        <v>191</v>
      </c>
      <c r="B1154" s="1" t="str">
        <f t="shared" si="43"/>
        <v>Punjab National Bank</v>
      </c>
      <c r="C1154">
        <v>348</v>
      </c>
      <c r="D1154">
        <v>0</v>
      </c>
      <c r="E1154">
        <v>926</v>
      </c>
      <c r="F1154" s="2">
        <v>315166.58</v>
      </c>
      <c r="G1154" s="2">
        <v>0</v>
      </c>
      <c r="H1154" s="2">
        <v>315166.58</v>
      </c>
      <c r="I1154" s="2">
        <v>252990.58</v>
      </c>
      <c r="J1154" s="2">
        <v>62176</v>
      </c>
      <c r="K1154" s="12">
        <v>52849.599999999999</v>
      </c>
      <c r="L1154" s="12">
        <v>9326.4</v>
      </c>
      <c r="M1154" s="12">
        <v>0</v>
      </c>
      <c r="N1154" s="4">
        <v>46235</v>
      </c>
      <c r="O1154" s="12" t="str">
        <f t="shared" ref="O1154:O1169" si="44">IF(ISNUMBER(SEARCH("Box Office",A1154)),"Offline - Box Office",
IF(ISNUMBER(SEARCH("Digital Platforms",A1154)),"Online",
IF(ISNUMBER(SEARCH("Refuel",A1154)),"Offline - F&amp;B",
IF(ISNUMBER(SEARCH("Food &amp; Beverages",A1154)),"Offline - F&amp;B",
IF(ISNUMBER(SEARCH("F&amp;B",A1154)),"Offline - F&amp;B",
IF(ISNUMBER(SEARCH("Kiosk",A1154)),"Offline - Box Office",
IF(ISNUMBER(SEARCH("Cinema",A1154)),"Offline - Box Office",
"Other")))))))</f>
        <v>Offline - F&amp;B</v>
      </c>
      <c r="P1154">
        <v>7568254</v>
      </c>
      <c r="Q1154" s="12">
        <v>5550782999.1000004</v>
      </c>
      <c r="R1154" s="12">
        <v>5550782999.1000004</v>
      </c>
      <c r="S1154">
        <v>17018642</v>
      </c>
    </row>
    <row r="1155" spans="1:19" x14ac:dyDescent="0.35">
      <c r="A1155" s="1" t="s">
        <v>192</v>
      </c>
      <c r="B1155" s="1" t="str">
        <f t="shared" si="43"/>
        <v>Kotak Mahindra Bank</v>
      </c>
      <c r="C1155">
        <v>43</v>
      </c>
      <c r="D1155">
        <v>43</v>
      </c>
      <c r="E1155">
        <v>95</v>
      </c>
      <c r="F1155" s="2">
        <v>90001.56</v>
      </c>
      <c r="G1155" s="2">
        <v>82657</v>
      </c>
      <c r="H1155" s="2">
        <v>504</v>
      </c>
      <c r="I1155" s="2">
        <v>61467.56</v>
      </c>
      <c r="J1155" s="2">
        <v>28534</v>
      </c>
      <c r="K1155" s="12">
        <v>28534</v>
      </c>
      <c r="L1155" s="12">
        <v>0</v>
      </c>
      <c r="M1155" s="12">
        <v>6720.56</v>
      </c>
      <c r="N1155" s="4">
        <v>46235</v>
      </c>
      <c r="O1155" s="12" t="str">
        <f t="shared" si="44"/>
        <v>Online</v>
      </c>
      <c r="P1155">
        <v>7568254</v>
      </c>
      <c r="Q1155" s="12">
        <v>5550782999.1000004</v>
      </c>
      <c r="R1155" s="12">
        <v>5550782999.1000004</v>
      </c>
      <c r="S1155">
        <v>17018642</v>
      </c>
    </row>
    <row r="1156" spans="1:19" x14ac:dyDescent="0.35">
      <c r="A1156" s="1" t="s">
        <v>193</v>
      </c>
      <c r="B1156" s="1" t="str">
        <f t="shared" si="43"/>
        <v>Kotak Mahindra Bank</v>
      </c>
      <c r="C1156">
        <v>724</v>
      </c>
      <c r="D1156">
        <v>724</v>
      </c>
      <c r="E1156">
        <v>1679</v>
      </c>
      <c r="F1156" s="2">
        <v>580875.27</v>
      </c>
      <c r="G1156" s="2">
        <v>501034.47</v>
      </c>
      <c r="H1156" s="2">
        <v>5976</v>
      </c>
      <c r="I1156" s="2">
        <v>415283.69</v>
      </c>
      <c r="J1156" s="2">
        <v>165591.57999999999</v>
      </c>
      <c r="K1156" s="12">
        <v>165591.57999999999</v>
      </c>
      <c r="L1156" s="12">
        <v>0</v>
      </c>
      <c r="M1156" s="12">
        <v>72280.800000000003</v>
      </c>
      <c r="N1156" s="4">
        <v>46235</v>
      </c>
      <c r="O1156" s="12" t="str">
        <f t="shared" si="44"/>
        <v>Online</v>
      </c>
      <c r="P1156">
        <v>7568254</v>
      </c>
      <c r="Q1156" s="12">
        <v>5550782999.1000004</v>
      </c>
      <c r="R1156" s="12">
        <v>5550782999.1000004</v>
      </c>
      <c r="S1156">
        <v>17018642</v>
      </c>
    </row>
    <row r="1157" spans="1:19" x14ac:dyDescent="0.35">
      <c r="A1157" s="1" t="s">
        <v>194</v>
      </c>
      <c r="B1157" s="1" t="str">
        <f t="shared" si="43"/>
        <v>Kotak Mahindra Bank</v>
      </c>
      <c r="C1157">
        <v>193</v>
      </c>
      <c r="D1157">
        <v>193</v>
      </c>
      <c r="E1157">
        <v>412</v>
      </c>
      <c r="F1157" s="2">
        <v>379689.06</v>
      </c>
      <c r="G1157" s="2">
        <v>350433</v>
      </c>
      <c r="H1157" s="2">
        <v>795</v>
      </c>
      <c r="I1157" s="2">
        <v>251290.06</v>
      </c>
      <c r="J1157" s="2">
        <v>128399</v>
      </c>
      <c r="K1157" s="12">
        <v>128399</v>
      </c>
      <c r="L1157" s="12">
        <v>0</v>
      </c>
      <c r="M1157" s="12">
        <v>28063.06</v>
      </c>
      <c r="N1157" s="4">
        <v>46235</v>
      </c>
      <c r="O1157" s="12" t="str">
        <f t="shared" si="44"/>
        <v>Online</v>
      </c>
      <c r="P1157">
        <v>7568254</v>
      </c>
      <c r="Q1157" s="12">
        <v>5550782999.1000004</v>
      </c>
      <c r="R1157" s="12">
        <v>5550782999.1000004</v>
      </c>
      <c r="S1157">
        <v>17018642</v>
      </c>
    </row>
    <row r="1158" spans="1:19" x14ac:dyDescent="0.35">
      <c r="A1158" s="1" t="s">
        <v>195</v>
      </c>
      <c r="B1158" s="1" t="str">
        <f t="shared" si="43"/>
        <v>Kotak Mahindra Bank</v>
      </c>
      <c r="C1158">
        <v>27855</v>
      </c>
      <c r="D1158">
        <v>0</v>
      </c>
      <c r="E1158">
        <v>67031</v>
      </c>
      <c r="F1158" s="2">
        <v>20329714.52</v>
      </c>
      <c r="G1158" s="2">
        <v>713524.81</v>
      </c>
      <c r="H1158" s="2">
        <v>19606299.27</v>
      </c>
      <c r="I1158" s="2">
        <v>16280490.52</v>
      </c>
      <c r="J1158" s="2">
        <v>4049224</v>
      </c>
      <c r="K1158" s="12">
        <v>0</v>
      </c>
      <c r="L1158" s="12">
        <v>4049224</v>
      </c>
      <c r="M1158" s="12">
        <v>9664.44</v>
      </c>
      <c r="N1158" s="4">
        <v>46235</v>
      </c>
      <c r="O1158" s="12" t="str">
        <f t="shared" si="44"/>
        <v>Other</v>
      </c>
      <c r="P1158">
        <v>7568254</v>
      </c>
      <c r="Q1158" s="12">
        <v>5550782999.1000004</v>
      </c>
      <c r="R1158" s="12">
        <v>5550782999.1000004</v>
      </c>
      <c r="S1158">
        <v>17018642</v>
      </c>
    </row>
    <row r="1159" spans="1:19" x14ac:dyDescent="0.35">
      <c r="A1159" s="1" t="s">
        <v>196</v>
      </c>
      <c r="B1159" s="1" t="str">
        <f t="shared" si="43"/>
        <v>Kotak Mahindra Bank</v>
      </c>
      <c r="C1159">
        <v>5463</v>
      </c>
      <c r="D1159">
        <v>0</v>
      </c>
      <c r="E1159">
        <v>12861</v>
      </c>
      <c r="F1159" s="2">
        <v>4571743.1100000003</v>
      </c>
      <c r="G1159" s="2">
        <v>4327824.8499999996</v>
      </c>
      <c r="H1159" s="2">
        <v>4565</v>
      </c>
      <c r="I1159" s="2">
        <v>4426261.05</v>
      </c>
      <c r="J1159" s="2">
        <v>145482</v>
      </c>
      <c r="K1159" s="12">
        <v>0</v>
      </c>
      <c r="L1159" s="12">
        <v>145482</v>
      </c>
      <c r="M1159" s="12">
        <v>235575.26</v>
      </c>
      <c r="N1159" s="4">
        <v>46235</v>
      </c>
      <c r="O1159" s="12" t="str">
        <f t="shared" si="44"/>
        <v>Other</v>
      </c>
      <c r="P1159">
        <v>7568254</v>
      </c>
      <c r="Q1159" s="12">
        <v>5550782999.1000004</v>
      </c>
      <c r="R1159" s="12">
        <v>5550782999.1000004</v>
      </c>
      <c r="S1159">
        <v>17018642</v>
      </c>
    </row>
    <row r="1160" spans="1:19" x14ac:dyDescent="0.35">
      <c r="A1160" s="1" t="s">
        <v>197</v>
      </c>
      <c r="B1160" s="1" t="str">
        <f t="shared" si="43"/>
        <v>Kotak Mahindra Bank</v>
      </c>
      <c r="C1160">
        <v>327</v>
      </c>
      <c r="D1160">
        <v>327</v>
      </c>
      <c r="E1160">
        <v>739</v>
      </c>
      <c r="F1160" s="2">
        <v>853579.12</v>
      </c>
      <c r="G1160" s="2">
        <v>796451</v>
      </c>
      <c r="H1160" s="2">
        <v>3166</v>
      </c>
      <c r="I1160" s="2">
        <v>532330.12</v>
      </c>
      <c r="J1160" s="2">
        <v>321249</v>
      </c>
      <c r="K1160" s="12">
        <v>321249</v>
      </c>
      <c r="L1160" s="12">
        <v>0</v>
      </c>
      <c r="M1160" s="12">
        <v>53088.12</v>
      </c>
      <c r="N1160" s="4">
        <v>46235</v>
      </c>
      <c r="O1160" s="12" t="str">
        <f t="shared" si="44"/>
        <v>Online</v>
      </c>
      <c r="P1160">
        <v>7568254</v>
      </c>
      <c r="Q1160" s="12">
        <v>5550782999.1000004</v>
      </c>
      <c r="R1160" s="12">
        <v>5550782999.1000004</v>
      </c>
      <c r="S1160">
        <v>17018642</v>
      </c>
    </row>
    <row r="1161" spans="1:19" x14ac:dyDescent="0.35">
      <c r="A1161" s="1" t="s">
        <v>200</v>
      </c>
      <c r="B1161" s="1" t="str">
        <f t="shared" ref="B1161:B1224" si="45">IF(ISNUMBER(SEARCH("AXIS",A1161)),"Axis Bank",
IF(OR(ISNUMBER(SEARCH("ONE CREDIT",A1161)),ISNUMBER(SEARCH("ONECARD",A1161))),"OneCard",
IF(OR(ISNUMBER(SEARCH("PNB",A1161)),ISNUMBER(SEARCH("PUNJAB NATIONAL",A1161))),"Punjab National Bank",
IF(ISNUMBER(SEARCH("HDFC",A1161)),"HDFC Bank",
IF(ISNUMBER(SEARCH("ICICI",A1161)),"ICICI Bank",
IF(ISNUMBER(SEARCH("AU",A1161)),"AU Bank",
IF(ISNUMBER(SEARCH("KOTAK",A1161)),"Kotak Mahindra Bank",
IF(ISNUMBER(SEARCH("SBI",A1161)),"State Bank of India",
IF(ISNUMBER(SEARCH("HSBC",A1161)),"HSBC",
IF(ISNUMBER(SEARCH("DBS",A1161)),"DBS Bank",
IF(ISNUMBER(SEARCH("SCAPIA",A1161)),"Scapia",
IF(ISNUMBER(SEARCH("STANDARD CHARTERED",A1161)),"Standard Chartered Bank",
IF(ISNUMBER(SEARCH("IDBI",A1161)),"IDBI Bank",
IF(OR(ISNUMBER(SEARCH("J&amp;K",A1161)),ISNUMBER(SEARCH("JAMMU",A1161))),"J&amp;K Bank",
IF(ISNUMBER(SEARCH("FEDERAL",A1161)),"Federal Bank",
IF(OR(ISNUMBER(SEARCH("BOBCARD",A1161)),ISNUMBER(SEARCH("BANK OF BARODA",A1161))),"BOB Card",
IF(OR(ISNUMBER(SEARCH("AMEX",A1161)),ISNUMBER(SEARCH("PLATINUM",A1161)),ISNUMBER(SEARCH("CENTURION",A1161))),"American Express",
IF(ISNUMBER(SEARCH("VISA",A1161)),"Visa",
IF(ISNUMBER(SEARCH("MASTERCARD",A1161)),"Mastercard",
"")))))))))))))))))))</f>
        <v>Punjab National Bank</v>
      </c>
      <c r="C1161">
        <v>171</v>
      </c>
      <c r="D1161">
        <v>171</v>
      </c>
      <c r="E1161">
        <v>457</v>
      </c>
      <c r="F1161" s="2">
        <v>151491.54</v>
      </c>
      <c r="G1161" s="2">
        <v>151491.54</v>
      </c>
      <c r="H1161" s="2">
        <v>0</v>
      </c>
      <c r="I1161" s="2">
        <v>99009.36</v>
      </c>
      <c r="J1161" s="2">
        <v>52482.18</v>
      </c>
      <c r="K1161" s="12">
        <v>52482.18</v>
      </c>
      <c r="L1161" s="12">
        <v>0</v>
      </c>
      <c r="M1161" s="12">
        <v>0</v>
      </c>
      <c r="N1161" s="4">
        <v>46235</v>
      </c>
      <c r="O1161" s="12" t="str">
        <f t="shared" si="44"/>
        <v>Offline - Box Office</v>
      </c>
      <c r="P1161">
        <v>7568254</v>
      </c>
      <c r="Q1161" s="12">
        <v>5550782999.1000004</v>
      </c>
      <c r="R1161" s="12">
        <v>5550782999.1000004</v>
      </c>
      <c r="S1161">
        <v>17018642</v>
      </c>
    </row>
    <row r="1162" spans="1:19" x14ac:dyDescent="0.35">
      <c r="A1162" s="1" t="s">
        <v>201</v>
      </c>
      <c r="B1162" s="1" t="str">
        <f t="shared" si="45"/>
        <v>Punjab National Bank</v>
      </c>
      <c r="C1162">
        <v>769</v>
      </c>
      <c r="D1162">
        <v>769</v>
      </c>
      <c r="E1162">
        <v>1787</v>
      </c>
      <c r="F1162" s="2">
        <v>778277.93</v>
      </c>
      <c r="G1162" s="2">
        <v>679104.93</v>
      </c>
      <c r="H1162" s="2">
        <v>1415</v>
      </c>
      <c r="I1162" s="2">
        <v>506769.59</v>
      </c>
      <c r="J1162" s="2">
        <v>271508.34000000003</v>
      </c>
      <c r="K1162" s="12">
        <v>271508.34000000003</v>
      </c>
      <c r="L1162" s="12">
        <v>0</v>
      </c>
      <c r="M1162" s="12">
        <v>95870</v>
      </c>
      <c r="N1162" s="4">
        <v>46235</v>
      </c>
      <c r="O1162" s="12" t="str">
        <f t="shared" si="44"/>
        <v>Online</v>
      </c>
      <c r="P1162">
        <v>7568254</v>
      </c>
      <c r="Q1162" s="12">
        <v>5550782999.1000004</v>
      </c>
      <c r="R1162" s="12">
        <v>5550782999.1000004</v>
      </c>
      <c r="S1162">
        <v>17018642</v>
      </c>
    </row>
    <row r="1163" spans="1:19" x14ac:dyDescent="0.35">
      <c r="A1163" s="1" t="s">
        <v>202</v>
      </c>
      <c r="B1163" s="1" t="str">
        <f t="shared" si="45"/>
        <v>State Bank of India</v>
      </c>
      <c r="C1163">
        <v>3468</v>
      </c>
      <c r="D1163">
        <v>0</v>
      </c>
      <c r="E1163">
        <v>9757</v>
      </c>
      <c r="F1163" s="2">
        <v>3039392.15</v>
      </c>
      <c r="G1163" s="2">
        <v>0</v>
      </c>
      <c r="H1163" s="2">
        <v>3039392.15</v>
      </c>
      <c r="I1163" s="2">
        <v>2692592.15</v>
      </c>
      <c r="J1163" s="2">
        <v>346800</v>
      </c>
      <c r="K1163" s="12">
        <v>277440</v>
      </c>
      <c r="L1163" s="12">
        <v>69360</v>
      </c>
      <c r="M1163" s="12">
        <v>0</v>
      </c>
      <c r="N1163" s="4">
        <v>46235</v>
      </c>
      <c r="O1163" s="12" t="str">
        <f t="shared" si="44"/>
        <v>Offline - F&amp;B</v>
      </c>
      <c r="P1163">
        <v>7568254</v>
      </c>
      <c r="Q1163" s="12">
        <v>5550782999.1000004</v>
      </c>
      <c r="R1163" s="12">
        <v>5550782999.1000004</v>
      </c>
      <c r="S1163">
        <v>17018642</v>
      </c>
    </row>
    <row r="1164" spans="1:19" x14ac:dyDescent="0.35">
      <c r="A1164" s="1" t="s">
        <v>203</v>
      </c>
      <c r="B1164" s="1" t="str">
        <f t="shared" si="45"/>
        <v>State Bank of India</v>
      </c>
      <c r="C1164">
        <v>1531</v>
      </c>
      <c r="D1164">
        <v>1531</v>
      </c>
      <c r="E1164">
        <v>4176</v>
      </c>
      <c r="F1164" s="2">
        <v>1281886.5900000001</v>
      </c>
      <c r="G1164" s="2">
        <v>1281886.5900000001</v>
      </c>
      <c r="H1164" s="2">
        <v>0</v>
      </c>
      <c r="I1164" s="2">
        <v>940896.18</v>
      </c>
      <c r="J1164" s="2">
        <v>340990.41</v>
      </c>
      <c r="K1164" s="12">
        <v>340990.41</v>
      </c>
      <c r="L1164" s="12">
        <v>0</v>
      </c>
      <c r="M1164" s="12">
        <v>0</v>
      </c>
      <c r="N1164" s="4">
        <v>46235</v>
      </c>
      <c r="O1164" s="12" t="str">
        <f t="shared" si="44"/>
        <v>Offline - Box Office</v>
      </c>
      <c r="P1164">
        <v>7568254</v>
      </c>
      <c r="Q1164" s="12">
        <v>5550782999.1000004</v>
      </c>
      <c r="R1164" s="12">
        <v>5550782999.1000004</v>
      </c>
      <c r="S1164">
        <v>17018642</v>
      </c>
    </row>
    <row r="1165" spans="1:19" x14ac:dyDescent="0.35">
      <c r="A1165" s="1" t="s">
        <v>205</v>
      </c>
      <c r="B1165" s="1" t="str">
        <f t="shared" si="45"/>
        <v>Mastercard</v>
      </c>
      <c r="C1165">
        <v>384</v>
      </c>
      <c r="D1165">
        <v>0</v>
      </c>
      <c r="E1165">
        <v>1171</v>
      </c>
      <c r="F1165" s="2">
        <v>512072.56</v>
      </c>
      <c r="G1165" s="2">
        <v>512072.56</v>
      </c>
      <c r="H1165" s="2">
        <v>0</v>
      </c>
      <c r="I1165" s="2">
        <v>435554.56</v>
      </c>
      <c r="J1165" s="2">
        <v>76518</v>
      </c>
      <c r="K1165" s="12">
        <v>68866.2</v>
      </c>
      <c r="L1165" s="12">
        <v>7651.8</v>
      </c>
      <c r="M1165" s="12">
        <v>0</v>
      </c>
      <c r="N1165" s="4">
        <v>46235</v>
      </c>
      <c r="O1165" s="12" t="str">
        <f t="shared" si="44"/>
        <v>Offline - Box Office</v>
      </c>
      <c r="P1165">
        <v>7568254</v>
      </c>
      <c r="Q1165" s="12">
        <v>5550782999.1000004</v>
      </c>
      <c r="R1165" s="12">
        <v>5550782999.1000004</v>
      </c>
      <c r="S1165">
        <v>17018642</v>
      </c>
    </row>
    <row r="1166" spans="1:19" x14ac:dyDescent="0.35">
      <c r="A1166" s="1" t="s">
        <v>206</v>
      </c>
      <c r="B1166" s="1" t="str">
        <f t="shared" si="45"/>
        <v>Mastercard</v>
      </c>
      <c r="C1166">
        <v>2599</v>
      </c>
      <c r="D1166">
        <v>0</v>
      </c>
      <c r="E1166">
        <v>8662</v>
      </c>
      <c r="F1166" s="2">
        <v>3121387.61</v>
      </c>
      <c r="G1166" s="2">
        <v>0</v>
      </c>
      <c r="H1166" s="2">
        <v>3121387.61</v>
      </c>
      <c r="I1166" s="2">
        <v>2603730.61</v>
      </c>
      <c r="J1166" s="2">
        <v>517657</v>
      </c>
      <c r="K1166" s="12">
        <v>465891.3</v>
      </c>
      <c r="L1166" s="12">
        <v>51765.7</v>
      </c>
      <c r="M1166" s="12">
        <v>0</v>
      </c>
      <c r="N1166" s="4">
        <v>46235</v>
      </c>
      <c r="O1166" s="12" t="str">
        <f t="shared" si="44"/>
        <v>Offline - F&amp;B</v>
      </c>
      <c r="P1166">
        <v>7568254</v>
      </c>
      <c r="Q1166" s="12">
        <v>5550782999.1000004</v>
      </c>
      <c r="R1166" s="12">
        <v>5550782999.1000004</v>
      </c>
      <c r="S1166">
        <v>17018642</v>
      </c>
    </row>
    <row r="1167" spans="1:19" x14ac:dyDescent="0.35">
      <c r="A1167" s="1" t="s">
        <v>207</v>
      </c>
      <c r="B1167" s="1" t="str">
        <f t="shared" si="45"/>
        <v>Standard Chartered Bank</v>
      </c>
      <c r="C1167">
        <v>16</v>
      </c>
      <c r="D1167">
        <v>16</v>
      </c>
      <c r="E1167">
        <v>36</v>
      </c>
      <c r="F1167" s="2">
        <v>10730</v>
      </c>
      <c r="G1167" s="2">
        <v>10730</v>
      </c>
      <c r="H1167" s="2">
        <v>0</v>
      </c>
      <c r="I1167" s="2">
        <v>7530</v>
      </c>
      <c r="J1167" s="2">
        <v>3200</v>
      </c>
      <c r="K1167" s="12">
        <v>3200</v>
      </c>
      <c r="L1167" s="12">
        <v>0</v>
      </c>
      <c r="M1167" s="12">
        <v>0</v>
      </c>
      <c r="N1167" s="4">
        <v>46235</v>
      </c>
      <c r="O1167" s="12" t="str">
        <f t="shared" si="44"/>
        <v>Offline - Box Office</v>
      </c>
      <c r="P1167">
        <v>7568254</v>
      </c>
      <c r="Q1167" s="12">
        <v>5550782999.1000004</v>
      </c>
      <c r="R1167" s="12">
        <v>5550782999.1000004</v>
      </c>
      <c r="S1167">
        <v>17018642</v>
      </c>
    </row>
    <row r="1168" spans="1:19" x14ac:dyDescent="0.35">
      <c r="A1168" s="1" t="s">
        <v>208</v>
      </c>
      <c r="B1168" s="1" t="str">
        <f t="shared" si="45"/>
        <v>Standard Chartered Bank</v>
      </c>
      <c r="C1168">
        <v>57</v>
      </c>
      <c r="D1168">
        <v>57</v>
      </c>
      <c r="E1168">
        <v>130</v>
      </c>
      <c r="F1168" s="2">
        <v>51105.84</v>
      </c>
      <c r="G1168" s="2">
        <v>45160.2</v>
      </c>
      <c r="H1168" s="2">
        <v>0</v>
      </c>
      <c r="I1168" s="2">
        <v>39874.239999999998</v>
      </c>
      <c r="J1168" s="2">
        <v>11231.6</v>
      </c>
      <c r="K1168" s="12">
        <v>11231.6</v>
      </c>
      <c r="L1168" s="12">
        <v>0</v>
      </c>
      <c r="M1168" s="12">
        <v>5859.64</v>
      </c>
      <c r="N1168" s="4">
        <v>46235</v>
      </c>
      <c r="O1168" s="12" t="str">
        <f t="shared" si="44"/>
        <v>Online</v>
      </c>
      <c r="P1168">
        <v>7568254</v>
      </c>
      <c r="Q1168" s="12">
        <v>5550782999.1000004</v>
      </c>
      <c r="R1168" s="12">
        <v>5550782999.1000004</v>
      </c>
      <c r="S1168">
        <v>17018642</v>
      </c>
    </row>
    <row r="1169" spans="1:19" x14ac:dyDescent="0.35">
      <c r="A1169" s="1" t="s">
        <v>209</v>
      </c>
      <c r="B1169" s="1" t="str">
        <f t="shared" si="45"/>
        <v>HDFC Bank</v>
      </c>
      <c r="C1169">
        <v>11423</v>
      </c>
      <c r="D1169">
        <v>0</v>
      </c>
      <c r="E1169">
        <v>58799</v>
      </c>
      <c r="F1169" s="2">
        <v>25153178.170000002</v>
      </c>
      <c r="G1169" s="2">
        <v>8964732.0800000001</v>
      </c>
      <c r="H1169" s="2">
        <v>15903841.35</v>
      </c>
      <c r="I1169" s="2">
        <v>24110390.170000002</v>
      </c>
      <c r="J1169" s="2">
        <v>1042788</v>
      </c>
      <c r="K1169" s="12">
        <v>0</v>
      </c>
      <c r="L1169" s="12">
        <v>1042788</v>
      </c>
      <c r="M1169" s="12">
        <v>280254.74</v>
      </c>
      <c r="N1169" s="4">
        <v>46235</v>
      </c>
      <c r="O1169" s="12" t="str">
        <f t="shared" si="44"/>
        <v>Other</v>
      </c>
      <c r="P1169">
        <v>7568254</v>
      </c>
      <c r="Q1169" s="12">
        <v>5550782999.1000004</v>
      </c>
      <c r="R1169" s="12">
        <v>5550782999.1000004</v>
      </c>
      <c r="S1169">
        <v>17018642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 Verma</dc:creator>
  <dc:description/>
  <cp:lastModifiedBy>Yash Verma</cp:lastModifiedBy>
  <cp:revision>0</cp:revision>
  <dcterms:created xsi:type="dcterms:W3CDTF">2026-06-04T07:39:41Z</dcterms:created>
  <dcterms:modified xsi:type="dcterms:W3CDTF">2026-09-07T10:21:58Z</dcterms:modified>
  <dc:language>en-US</dc:language>
</cp:coreProperties>
</file>